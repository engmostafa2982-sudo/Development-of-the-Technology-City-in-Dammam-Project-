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0"/>
  <workbookPr/>
  <mc:AlternateContent xmlns:mc="http://schemas.openxmlformats.org/markup-compatibility/2006">
    <mc:Choice Requires="x15">
      <x15ac:absPath xmlns:x15ac="http://schemas.microsoft.com/office/spreadsheetml/2010/11/ac" url="D:\Weekly reports\DAM3-02-07\"/>
    </mc:Choice>
  </mc:AlternateContent>
  <xr:revisionPtr revIDLastSave="0" documentId="8_{E1191903-034A-43A2-AED7-6A0B71F43D77}" xr6:coauthVersionLast="36" xr6:coauthVersionMax="36" xr10:uidLastSave="{00000000-0000-0000-0000-000000000000}"/>
  <bookViews>
    <workbookView xWindow="0" yWindow="0" windowWidth="23040" windowHeight="8964" tabRatio="500" activeTab="3" xr2:uid="{00000000-000D-0000-FFFF-FFFF00000000}"/>
  </bookViews>
  <sheets>
    <sheet name="الملخص" sheetId="1" r:id="rId1"/>
    <sheet name="1 تعارض التوريد" sheetId="2" r:id="rId2"/>
    <sheet name="2 أعمال قبل التوريد" sheetId="3" r:id="rId3"/>
    <sheet name="3 المواد المتأخرة في التوريد" sheetId="4" r:id="rId4"/>
  </sheets>
  <definedNames>
    <definedName name="_xlnm._FilterDatabase" localSheetId="1" hidden="1">'1 تعارض التوريد'!$A$4:$J$31</definedName>
    <definedName name="_xlnm._FilterDatabase" localSheetId="2" hidden="1">'2 أعمال قبل التوريد'!$A$4:$I$32</definedName>
    <definedName name="_xlnm._FilterDatabase" localSheetId="3" hidden="1">'3 المواد المتأخرة في التوريد'!$A$4:$L$137</definedName>
  </definedNames>
  <calcPr calcId="191029"/>
  <extLs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L137" i="4" l="1"/>
  <c r="L136" i="4"/>
  <c r="L135" i="4"/>
  <c r="L134" i="4"/>
  <c r="L133" i="4"/>
  <c r="L132" i="4"/>
  <c r="L131" i="4"/>
  <c r="L130" i="4"/>
  <c r="L129" i="4"/>
  <c r="L128" i="4"/>
  <c r="L127" i="4"/>
  <c r="L126" i="4"/>
  <c r="L125" i="4"/>
  <c r="L124" i="4"/>
  <c r="L123" i="4"/>
  <c r="L122" i="4"/>
  <c r="L121" i="4"/>
  <c r="L120" i="4"/>
  <c r="L119" i="4"/>
  <c r="L118" i="4"/>
  <c r="L117" i="4"/>
  <c r="L116" i="4"/>
  <c r="L115" i="4"/>
  <c r="L114" i="4"/>
  <c r="L113" i="4"/>
  <c r="L112" i="4"/>
  <c r="L111" i="4"/>
  <c r="L110" i="4"/>
  <c r="L109" i="4"/>
  <c r="L108" i="4"/>
  <c r="L107" i="4"/>
  <c r="L106" i="4"/>
  <c r="L105" i="4"/>
  <c r="L104" i="4"/>
  <c r="L103" i="4"/>
  <c r="L102" i="4"/>
  <c r="L101" i="4"/>
  <c r="L100" i="4"/>
  <c r="L99" i="4"/>
  <c r="L98" i="4"/>
  <c r="L97" i="4"/>
  <c r="L96" i="4"/>
  <c r="L95" i="4"/>
  <c r="L94" i="4"/>
  <c r="L93" i="4"/>
  <c r="L92" i="4"/>
  <c r="L91" i="4"/>
  <c r="L90" i="4"/>
  <c r="L89" i="4"/>
  <c r="L88" i="4"/>
  <c r="L87" i="4"/>
  <c r="L86" i="4"/>
  <c r="L85" i="4"/>
  <c r="L84" i="4"/>
  <c r="L83" i="4"/>
  <c r="L82" i="4"/>
  <c r="L81" i="4"/>
  <c r="L80" i="4"/>
  <c r="L79" i="4"/>
  <c r="L78" i="4"/>
  <c r="L77" i="4"/>
  <c r="L76" i="4"/>
  <c r="L75" i="4"/>
  <c r="L74" i="4"/>
  <c r="L73" i="4"/>
  <c r="L72" i="4"/>
  <c r="L71" i="4"/>
  <c r="L70" i="4"/>
  <c r="L69" i="4"/>
  <c r="L68" i="4"/>
  <c r="L67" i="4"/>
  <c r="L66" i="4"/>
  <c r="L65" i="4"/>
  <c r="L64" i="4"/>
  <c r="L63" i="4"/>
  <c r="L62" i="4"/>
  <c r="L61" i="4"/>
  <c r="L60" i="4"/>
  <c r="L59" i="4"/>
  <c r="L58" i="4"/>
  <c r="L57" i="4"/>
  <c r="L56" i="4"/>
  <c r="L55" i="4"/>
  <c r="L54" i="4"/>
  <c r="L53" i="4"/>
  <c r="L52" i="4"/>
  <c r="L51" i="4"/>
  <c r="L50" i="4"/>
  <c r="L49" i="4"/>
  <c r="L48" i="4"/>
  <c r="L47" i="4"/>
  <c r="L46" i="4"/>
  <c r="L45" i="4"/>
  <c r="L44" i="4"/>
  <c r="L43" i="4"/>
  <c r="L42" i="4"/>
  <c r="L41" i="4"/>
  <c r="L40" i="4"/>
  <c r="L39" i="4"/>
  <c r="L38" i="4"/>
  <c r="L37" i="4"/>
  <c r="L36" i="4"/>
  <c r="L35" i="4"/>
  <c r="L34" i="4"/>
  <c r="L33" i="4"/>
  <c r="L32" i="4"/>
  <c r="L31" i="4"/>
  <c r="L30" i="4"/>
  <c r="L29" i="4"/>
  <c r="L28" i="4"/>
  <c r="L27" i="4"/>
  <c r="L26" i="4"/>
  <c r="L25" i="4"/>
  <c r="L24" i="4"/>
  <c r="L23" i="4"/>
  <c r="L22" i="4"/>
  <c r="L21" i="4"/>
  <c r="L20" i="4"/>
  <c r="L19" i="4"/>
  <c r="L18" i="4"/>
  <c r="L17" i="4"/>
  <c r="L16" i="4"/>
  <c r="L15" i="4"/>
  <c r="L14" i="4"/>
  <c r="L13" i="4"/>
  <c r="L12" i="4"/>
  <c r="L11" i="4"/>
  <c r="L10" i="4"/>
  <c r="L9" i="4"/>
  <c r="L8" i="4"/>
  <c r="L7" i="4"/>
  <c r="L6" i="4"/>
  <c r="L5" i="4"/>
  <c r="B8" i="1"/>
  <c r="B7" i="1"/>
  <c r="B5" i="1"/>
  <c r="B10" i="1" l="1"/>
  <c r="B9" i="1"/>
</calcChain>
</file>

<file path=xl/sharedStrings.xml><?xml version="1.0" encoding="utf-8"?>
<sst xmlns="http://schemas.openxmlformats.org/spreadsheetml/2006/main" count="1261" uniqueCount="341">
  <si>
    <t>DAM3-02-007 – مرفق ملاحظات التوريد على تحديث 06/10/2026</t>
  </si>
  <si>
    <t>المصدر: تحديث P6 بتاريخ 06/10/2026 مقارنةً بالبرنامج المعتمد BL01-REV00</t>
  </si>
  <si>
    <t>البند</t>
  </si>
  <si>
    <t>القيمة</t>
  </si>
  <si>
    <t>الشيت</t>
  </si>
  <si>
    <t>عدد حالات تعارض أول توريد مع التوريد والفحص</t>
  </si>
  <si>
    <t>1 تعارض التوريد</t>
  </si>
  <si>
    <t>عدد المواد التي بها هذا التعارض</t>
  </si>
  <si>
    <t>عدد أعمال الموقع التي بدأت قبل التوريد</t>
  </si>
  <si>
    <t>2 أعمال قبل التوريد</t>
  </si>
  <si>
    <t>عدد أنشطة التوريد المتأخرة عن الـ Baseline</t>
  </si>
  <si>
    <t>3 المواد المتأخرة في التوريد</t>
  </si>
  <si>
    <t>متوسط أيام تأخير التوريد</t>
  </si>
  <si>
    <t>أقصى تأخير في التوريد (يوم)</t>
  </si>
  <si>
    <t>الملاحظة 1: نشاط «التوريد والفحص» بدأ أو اكتمل بينما نشاط «أول توريد» للمادة نفسها لم يبدأ</t>
  </si>
  <si>
    <t>#</t>
  </si>
  <si>
    <t>الشبكة</t>
  </si>
  <si>
    <t>المادة (كما في الجدول)</t>
  </si>
  <si>
    <t>كود نشاط أول توريد</t>
  </si>
  <si>
    <t>اسم نشاط أول توريد (1ST Material Delivery)</t>
  </si>
  <si>
    <t>حالته</t>
  </si>
  <si>
    <t>كود نشاط التوريد والفحص</t>
  </si>
  <si>
    <t>اسم نشاط التوريد والفحص (Material Delivery &amp; Site Inspection)</t>
  </si>
  <si>
    <t>نسبة الإنجاز</t>
  </si>
  <si>
    <t>شبكة الري</t>
  </si>
  <si>
    <t>Valves – Irrigation Network</t>
  </si>
  <si>
    <t>PRO-IR-1DL-110</t>
  </si>
  <si>
    <t>1ST Material Delivery for Valves of Irrigation Network</t>
  </si>
  <si>
    <t>لم يبدأ</t>
  </si>
  <si>
    <t>PRO-R09-IR-DL-110</t>
  </si>
  <si>
    <t>Material Delivery &amp; Site Inspection of Valves for Irrigation Network</t>
  </si>
  <si>
    <t>مكتمل</t>
  </si>
  <si>
    <t>PRO-R11-IR-DL-150</t>
  </si>
  <si>
    <t>PRO-R14-IR-DL-110</t>
  </si>
  <si>
    <t>PRO-R19.2-IR-DL-110</t>
  </si>
  <si>
    <t>اللاندسكيب</t>
  </si>
  <si>
    <t>Curbstones – Landscaping</t>
  </si>
  <si>
    <t>PRO-RD-1DL-150</t>
  </si>
  <si>
    <t>1ST Material Delivery for Curbstones of Landscaping</t>
  </si>
  <si>
    <t>PRO-R09-RD-DL-130</t>
  </si>
  <si>
    <t>Material Delivery &amp; Site Inspection of Curbstones for Landscaping</t>
  </si>
  <si>
    <t>PRO-R10-RD-DL-130</t>
  </si>
  <si>
    <t>PRO-R11-RD-DL-130</t>
  </si>
  <si>
    <t>PRO-R14-RD-DL-130</t>
  </si>
  <si>
    <t>PRO-R15-RD-DL-130</t>
  </si>
  <si>
    <t>PRO-R16-RD-DL-130</t>
  </si>
  <si>
    <t>PRO-R17-RD-DL-110</t>
  </si>
  <si>
    <t>PRO-R18-RD-DL-190</t>
  </si>
  <si>
    <t>Interlock Tiles – Landscaping</t>
  </si>
  <si>
    <t>PRO-RD-1DL-140</t>
  </si>
  <si>
    <t>1ST Material Delivery for Interlock Tiles of Landscaping</t>
  </si>
  <si>
    <t>PRO-R09-RD-DL-120</t>
  </si>
  <si>
    <t>Material Delivery &amp; Site Inspection of Interlock Tiles for Landscaping</t>
  </si>
  <si>
    <t>PRO-R10-RD-DL-120</t>
  </si>
  <si>
    <t>PRO-R11-RD-DL-120</t>
  </si>
  <si>
    <t>PRO-R14-RD-DL-120</t>
  </si>
  <si>
    <t>PRO-R15-RD-DL-120</t>
  </si>
  <si>
    <t>PRO-R16-RD-DL-120</t>
  </si>
  <si>
    <t>PRO-R17-RD-DL-100</t>
  </si>
  <si>
    <t>PRO-R18-RD-DL-180</t>
  </si>
  <si>
    <t>شبكة مياه الشرب</t>
  </si>
  <si>
    <t>Finishes – Potable Water Network</t>
  </si>
  <si>
    <t>PRO-PW-1DL-130</t>
  </si>
  <si>
    <t>1ST Material Delivery for Finishes of Potable Water Network</t>
  </si>
  <si>
    <t>PRO-R14-PW-DL-130</t>
  </si>
  <si>
    <t>Material Delivery &amp; Site Inspection for Finishes of Potable Water Network</t>
  </si>
  <si>
    <t>Sewage Pump Stations ( PS 06 )</t>
  </si>
  <si>
    <t>Civil Works – Sewage Pump Stations ( PS 06 )</t>
  </si>
  <si>
    <t>PRO-SPS-CV-1DL-10</t>
  </si>
  <si>
    <t>1ST Material Delivery for Civil Works for Sewage Pump Stations ( PS 06 )</t>
  </si>
  <si>
    <t>PRO-SPS-CV-DL-10</t>
  </si>
  <si>
    <t>Material Delivery &amp; Site Inspection for Civil Works for Sewage Pump Stations ( PS 06 )</t>
  </si>
  <si>
    <t>Storm Drainage Ponds ( PO-J2 )</t>
  </si>
  <si>
    <t>Civil Works – Storm Drainage Ponds ( PO-J2 )</t>
  </si>
  <si>
    <t>PRO-DPO-CV-1DL-20</t>
  </si>
  <si>
    <t>1ST Material Delivery for Civil Works for Storm Drainage Ponds ( PO-J2 )</t>
  </si>
  <si>
    <t>PRO-DPO-CV-DL-20</t>
  </si>
  <si>
    <t>Material Delivery &amp; Site Inspection for Civil Works for Storm Drainage Ponds ( PO-J2 )</t>
  </si>
  <si>
    <t>جارٍ</t>
  </si>
  <si>
    <t>شبكة إنارة الشوارع</t>
  </si>
  <si>
    <t>Cable Lugs – Street Lighting Network</t>
  </si>
  <si>
    <t>PRO-SL-1DL-170</t>
  </si>
  <si>
    <t>1ST Material Delivery for Cable Lugs of Street Lighting Network</t>
  </si>
  <si>
    <t>PRO-R10-SL-DL-170</t>
  </si>
  <si>
    <t>Material Delivery &amp; Site Inspection of Cable Lugs for Street Lighting Network</t>
  </si>
  <si>
    <t>Distrubution Panel Boards – Street Lighting Network</t>
  </si>
  <si>
    <t>PRO-SL-1DL-160</t>
  </si>
  <si>
    <t>1ST Material Delivery for Distrubution Panel Boards of Street Lighting Network</t>
  </si>
  <si>
    <t>PRO-R09-SL-DL-160</t>
  </si>
  <si>
    <t>Material Delivery &amp; Site Inspection of Distrubution Panel Boards for Street Lighting Network</t>
  </si>
  <si>
    <t>PRO-R10-SL-DL-160</t>
  </si>
  <si>
    <t>Fuse Boxes – Street Lighting Network</t>
  </si>
  <si>
    <t>PRO-SL-1DL-130</t>
  </si>
  <si>
    <t>1ST Material Delivery for Fuse Boxes of Street Lighting Network</t>
  </si>
  <si>
    <t>PRO-R10-SL-DL-130</t>
  </si>
  <si>
    <t>Material Delivery &amp; Site Inspection of Fuse Boxes for Street Lighting Network</t>
  </si>
  <si>
    <t>الملاحظة 2: أعمال موقع بدأت بينما نشاط توريد المادة المطلوبة لها لم يبدأ</t>
  </si>
  <si>
    <t>كود نشاط التوريد</t>
  </si>
  <si>
    <t>اسم نشاط التوريد</t>
  </si>
  <si>
    <t>كود نشاط الموقع اللاحق</t>
  </si>
  <si>
    <t>اسم نشاط الموقع</t>
  </si>
  <si>
    <t>CO-SW-PS7-MB-100</t>
  </si>
  <si>
    <t>Excavation Main Bulding</t>
  </si>
  <si>
    <t>CO-R09.S01-RD-P-130</t>
  </si>
  <si>
    <t>Fixing of Interlock Tiles for Sidewalks Pavement-[Road 09] -[SW-1]</t>
  </si>
  <si>
    <t>CO-R09.S01-RD-P-120</t>
  </si>
  <si>
    <t>Fixing of Curbstone for Sidewalks Pavement-[Road 09] -[SW-1]</t>
  </si>
  <si>
    <t>شبكة الجهد المتوسط</t>
  </si>
  <si>
    <t>PRO-R10-MV-DL-120</t>
  </si>
  <si>
    <t>Material Delivery &amp; Site Inspection of RMU Concrete Foundations for Medium Voltage Network</t>
  </si>
  <si>
    <t>CO-R10.S03-ES-MV-150</t>
  </si>
  <si>
    <t>Installation Works for RMU Concrete Foundations of Medium Voltage Network-[Road 10]-[SW-3]</t>
  </si>
  <si>
    <t>PRO-R17-MV-DL-120</t>
  </si>
  <si>
    <t>CO-R17.S13-MV-150</t>
  </si>
  <si>
    <t>Installation Works for RMU Concrete Foundations of Medium Voltage Network-[Road 17]-[SW-13]</t>
  </si>
  <si>
    <t>CO-R09.S01-IR-120</t>
  </si>
  <si>
    <t>Installation Works for Main Line Valves of Irrigation Network-[Road 09] -[SW-1]</t>
  </si>
  <si>
    <t>PRO-R15-IR-DL-110</t>
  </si>
  <si>
    <t>CO-R15.S09-IR-120</t>
  </si>
  <si>
    <t>Installation Works for Main Line Valves of Irrigation Network-[Road 15]-[SW-9]</t>
  </si>
  <si>
    <t>PRO-R16-IR-DL-110</t>
  </si>
  <si>
    <t>CO-R16.S11-IR-120</t>
  </si>
  <si>
    <t>Installation Works for Main Line Valves of Irrigation Network-[Road 16]-[SW-11]</t>
  </si>
  <si>
    <t>PRO-R17-IR-DL-110</t>
  </si>
  <si>
    <t>CO-R17.S13-IR-120</t>
  </si>
  <si>
    <t>Installation Works for Main Line Valves of Irrigation Network-[Road 17]-[SW-13]</t>
  </si>
  <si>
    <t>PRO-R18-IR-DL-130</t>
  </si>
  <si>
    <t>CO-R18.S15-IR-160</t>
  </si>
  <si>
    <t>Installation Works for Main Line Valves of Irrigation Network-[Road 18]-[SW-15]</t>
  </si>
  <si>
    <t>شبكة تصريف السيول</t>
  </si>
  <si>
    <t>PRO-R09-SD-DL-140</t>
  </si>
  <si>
    <t>Material Delivery &amp; Site Inspection of Manholes Covers for Storm Drainage Network</t>
  </si>
  <si>
    <t>CO-R09-SD-TF-100</t>
  </si>
  <si>
    <t>Testing Work for Pipes of Storm Drainage Network-[Road 09]</t>
  </si>
  <si>
    <t>PRO-R09-SD-DL-150</t>
  </si>
  <si>
    <t>Material Delivery &amp; Site Inspection of Catch Basin Covers for Storm Drainage Network</t>
  </si>
  <si>
    <t>CO-R09-SD-TF-110</t>
  </si>
  <si>
    <t>Install Catch Basin Cover Works for External Finishes of Storm Drainage Network-[Road 09]</t>
  </si>
  <si>
    <t>PRO-R09-SD-DL-160</t>
  </si>
  <si>
    <t>Material Delivery &amp; Site Inspection of Epoxy Insulation for Storm Drainage Network</t>
  </si>
  <si>
    <t>CO-R09-SD-TF-120</t>
  </si>
  <si>
    <t>Main Manhole Internal Finishes (Benching + Insulation ) for Storm Drainage Network-[Road 09]</t>
  </si>
  <si>
    <t>PRO-R10-SD-DL-140</t>
  </si>
  <si>
    <t>CO-R10-SD-TF-100</t>
  </si>
  <si>
    <t>Testing Work for Pipes of Storm Drainage Network-[Road 10]</t>
  </si>
  <si>
    <t>PRO-R10-SD-DL-150</t>
  </si>
  <si>
    <t>CO-R10-SD-TF-110</t>
  </si>
  <si>
    <t>Install Catch Basin Cover Works for External Finishes of Storm Drainage Network-[Road 10]</t>
  </si>
  <si>
    <t>PRO-R10-SD-DL-160</t>
  </si>
  <si>
    <t>CO-R10-SD-TF-120</t>
  </si>
  <si>
    <t>Main Manhole Internal Finishes (Benching + Insulation ) for Storm Drainage Network-[Road 10]</t>
  </si>
  <si>
    <t>PRO-R11-SD-DL-140</t>
  </si>
  <si>
    <t>CO-R11-SD-TF-100</t>
  </si>
  <si>
    <t>Testing Work for Pipes of Storm Drainage Network-[Road 11]</t>
  </si>
  <si>
    <t>PRO-R11-SD-DL-150</t>
  </si>
  <si>
    <t>CO-R11-SD-TF-110</t>
  </si>
  <si>
    <t>Install Catch Basin Cover Works for External Finishes of Storm Drainage Network-[Road 11]</t>
  </si>
  <si>
    <t>PRO-R11-SD-DL-160</t>
  </si>
  <si>
    <t>CO-R11-SD-TF-120</t>
  </si>
  <si>
    <t>Main Manhole Internal Finishes (Benching + Insulation ) for Storm Drainage Network-[Road 11]</t>
  </si>
  <si>
    <t>PRO-R14-SD-DL-150</t>
  </si>
  <si>
    <t>CO-R14-SD-TF-110</t>
  </si>
  <si>
    <t>Install Catch Basin Cover Works for External Finishes of Storm Drainage Network-[Road 14]</t>
  </si>
  <si>
    <t>PRO-R14-SD-DL-160</t>
  </si>
  <si>
    <t>CO-R14-SD-TF-120</t>
  </si>
  <si>
    <t>Main Manhole Internal Finishes (Benching + Insulation ) for Storm Drainage Network-[Road 14]</t>
  </si>
  <si>
    <t>PRO-R15-SD-DL-140</t>
  </si>
  <si>
    <t>CO-R15-SD-TF-100</t>
  </si>
  <si>
    <t>Testing Work for Pipes of Storm Drainage Network-[Road 15]</t>
  </si>
  <si>
    <t>PRO-R15-SD-DL-160</t>
  </si>
  <si>
    <t>CO-R15-SD-TF-120</t>
  </si>
  <si>
    <t>Main Manhole Internal Finishes (Benching + Insulation ) for Storm Drainage Network-[Road 15]</t>
  </si>
  <si>
    <t>PRO-R16-SD-DL-160</t>
  </si>
  <si>
    <t>CO-R16-SD-TF-120</t>
  </si>
  <si>
    <t>Main Manhole Internal Finishes (Benching + Insulation ) for Storm Drainage Network-[Road 16]</t>
  </si>
  <si>
    <t>PRO-R09-PW-DL-110</t>
  </si>
  <si>
    <t>Material Delivery &amp; Site Inspection of Valves for Potable Water Network</t>
  </si>
  <si>
    <t>CO-R09.S02-PW-110</t>
  </si>
  <si>
    <t>Pipes Laying and accessories for Main Lines of Potable Water Network-[Road 09]-[SW-2]</t>
  </si>
  <si>
    <t>PRO-R14-PW-DL-110</t>
  </si>
  <si>
    <t>CO-R14.S08-PW-210</t>
  </si>
  <si>
    <t>Insulation Works for Main Line Valves and Valve Chambers of Potable Water Network-[Road 14]-[SW-8]</t>
  </si>
  <si>
    <t>PRO-R15-PW-DL-110</t>
  </si>
  <si>
    <t>CO-R15.S10-PW-210</t>
  </si>
  <si>
    <t>Installation Works for Main Line Valves and Valve Chambers of Potable Water Network-[Road 15]-[SW-10]</t>
  </si>
  <si>
    <t>PRO-R16-PW-DL-110</t>
  </si>
  <si>
    <t>CO-R16.S12-PW-210</t>
  </si>
  <si>
    <t>Installation Works for Main Line Valves and Valve Chambers of Potable Water Network-[Road 16]-[SW-12]</t>
  </si>
  <si>
    <t>أنشطة التوريد غير المكتملة والمتأخرة عن البرنامج المعتمد (أول توريد + التوريد والفحص)</t>
  </si>
  <si>
    <t>كود النشاط</t>
  </si>
  <si>
    <t>اسم النشاط</t>
  </si>
  <si>
    <t>نوع النشاط</t>
  </si>
  <si>
    <t>الحالة</t>
  </si>
  <si>
    <t>الانتهاء في الـ Baseline</t>
  </si>
  <si>
    <t>الانتهاء المتوقع</t>
  </si>
  <si>
    <t>Total Float (يوم)</t>
  </si>
  <si>
    <t>أيام التأخير</t>
  </si>
  <si>
    <t>Termination and Joints Kits – Medium Voltage Network</t>
  </si>
  <si>
    <t>PRO-MV-1DL-120</t>
  </si>
  <si>
    <t>1ST Material Delivery for Termination and Joints Kits of Medium Voltage Network</t>
  </si>
  <si>
    <t>أول توريد (1ST Material Delivery)</t>
  </si>
  <si>
    <t>PRO-R09-MV-DL-110</t>
  </si>
  <si>
    <t>Material Delivery &amp; Site Inspection of Termination and Joints Kits for Medium Voltage Network</t>
  </si>
  <si>
    <t>التوريد والفحص (Material Delivery &amp; Site Inspection)</t>
  </si>
  <si>
    <t>PRO-R11-MV-DL-110</t>
  </si>
  <si>
    <t>PRO-R10-MV-DL-110</t>
  </si>
  <si>
    <t>PRO-R14-MV-DL-110</t>
  </si>
  <si>
    <t>PRO-R16-MV-DL-110</t>
  </si>
  <si>
    <t>PRO-R15-MV-DL-110</t>
  </si>
  <si>
    <t>PRO-R17-MV-DL-110</t>
  </si>
  <si>
    <t>PRO-R18-MV-DL-130</t>
  </si>
  <si>
    <t>PRO-R10-PW-DL-130</t>
  </si>
  <si>
    <t>PRO-R18-PW-DL-170</t>
  </si>
  <si>
    <t>PRO-R16-PW-DL-130</t>
  </si>
  <si>
    <t>PRO-R17-PW-DL-130</t>
  </si>
  <si>
    <t>PRO-R15-PW-DL-130</t>
  </si>
  <si>
    <t>Valves – Potable Water Network</t>
  </si>
  <si>
    <t>PRO-R17-PW-DL-110</t>
  </si>
  <si>
    <t>PRO-R11-PW-DL-130</t>
  </si>
  <si>
    <t>PRO-R09-PW-DL-130</t>
  </si>
  <si>
    <t>Lighting Fixtures – Street Lighting Network</t>
  </si>
  <si>
    <t>PRO-SL-1DL-140</t>
  </si>
  <si>
    <t>1ST Material Delivery for Lighting Fixtures of Street Lighting Network</t>
  </si>
  <si>
    <t>Lighting Earthing – Street Lighting Network</t>
  </si>
  <si>
    <t>PRO-SL-1DL-150</t>
  </si>
  <si>
    <t>1ST Material Delivery for Lighting Earthing of Street Lighting Network</t>
  </si>
  <si>
    <t>Rising Main Network</t>
  </si>
  <si>
    <t>Manholes Covers – Rising Main Network</t>
  </si>
  <si>
    <t>PRO-R09-SW-DL-120</t>
  </si>
  <si>
    <t>Material Delivery &amp; Site Inspection of Manholes Covers for Rising Main Network</t>
  </si>
  <si>
    <t>Membrane Insulation – Rising Main Network</t>
  </si>
  <si>
    <t>PRO-R09-SW-DL-130</t>
  </si>
  <si>
    <t>Material Delivery &amp; Site Inspection of Membrane Insulation for Rising Main Network</t>
  </si>
  <si>
    <t>PRO-R10-SL-DL-150</t>
  </si>
  <si>
    <t>Material Delivery &amp; Site Inspection of Lighting Earthing for Street Lighting Network</t>
  </si>
  <si>
    <t>PRO-R09-SL-DL-150</t>
  </si>
  <si>
    <t>أعمال الطرق</t>
  </si>
  <si>
    <t>Road Markings – Road Works</t>
  </si>
  <si>
    <t>PRO-RD-1DL-170</t>
  </si>
  <si>
    <t>1ST Material Delivery for Road Markings of Road Works</t>
  </si>
  <si>
    <t>Traffic Signs Boards – Road Works</t>
  </si>
  <si>
    <t>PRO-RD-1DL-160</t>
  </si>
  <si>
    <t>1ST Material Delivery for Traffic Signs Boards of Road Works</t>
  </si>
  <si>
    <t>Manholes Covers – Storm Drainage Network</t>
  </si>
  <si>
    <t>PRO-R18-SD-DL-190</t>
  </si>
  <si>
    <t>Epoxy Insulation – Storm Drainage Network</t>
  </si>
  <si>
    <t>PRO-R18-SD-DL-230</t>
  </si>
  <si>
    <t>Catch Basin Covers – Storm Drainage Network</t>
  </si>
  <si>
    <t>PRO-R18-SD-DL-210</t>
  </si>
  <si>
    <t>PRO-R10-PW-DL-110</t>
  </si>
  <si>
    <t>شبكة الصرف الصحي</t>
  </si>
  <si>
    <t>Manholes Covers – Sewage Network</t>
  </si>
  <si>
    <t>PRO-R11-SW-DL-120</t>
  </si>
  <si>
    <t>Material Delivery &amp; Site Inspection of Manholes Covers for Sewage Network</t>
  </si>
  <si>
    <t>PRO-R14-SW-DL-120</t>
  </si>
  <si>
    <t>PRO-R10-SW-DL-120</t>
  </si>
  <si>
    <t>PRO-R16-SW-DL-120</t>
  </si>
  <si>
    <t>PRO-R17-SW-DL-120</t>
  </si>
  <si>
    <t>PRO-R15-SW-DL-120</t>
  </si>
  <si>
    <t>PRO-R18-SL-DL-220</t>
  </si>
  <si>
    <t>Material Delivery &amp; Site Inspection of Lighting Fixtures for Street Lighting Network</t>
  </si>
  <si>
    <t>PRO-R17-SL-DL-140</t>
  </si>
  <si>
    <t>PRO-R16-SL-DL-140</t>
  </si>
  <si>
    <t>PRO-R17-SD-DL-150</t>
  </si>
  <si>
    <t>PRO-R17-SD-DL-140</t>
  </si>
  <si>
    <t>PRO-R17-SD-DL-160</t>
  </si>
  <si>
    <t>RMU Concrete Foundations – Medium Voltage Network</t>
  </si>
  <si>
    <t>PRO-MV-1DL-110</t>
  </si>
  <si>
    <t>1ST Material Delivery for RMU Concrete Foundations of Medium Voltage Network</t>
  </si>
  <si>
    <t>PRO-R16-SD-DL-140</t>
  </si>
  <si>
    <t>PRO-R16-SD-DL-150</t>
  </si>
  <si>
    <t>PRO-R09-SL-DL-170</t>
  </si>
  <si>
    <t>PRO-R11-PW-DL-110</t>
  </si>
  <si>
    <t>Storm Drainage Ponds ( PO-J1 )</t>
  </si>
  <si>
    <t>Civil Works – Storm Drainage Ponds ( PO-J1 )</t>
  </si>
  <si>
    <t>PRO-DPO-CV-DL-10</t>
  </si>
  <si>
    <t>Material Delivery &amp; Site Inspection for Civil Works for Storm Drainage Ponds ( PO-J1 )</t>
  </si>
  <si>
    <t>PRO-R11-SL-DL-170</t>
  </si>
  <si>
    <t>PRO-R14-SL-DL-170</t>
  </si>
  <si>
    <t>PRO-R15-SL-DL-170</t>
  </si>
  <si>
    <t>PRO-R18-SL-DL-210</t>
  </si>
  <si>
    <t>PRO-R17-SL-DL-170</t>
  </si>
  <si>
    <t>PRO-R09-SL-DL-140</t>
  </si>
  <si>
    <t>PRO-R16-SL-DL-170</t>
  </si>
  <si>
    <t>PRO-R18-SL-DL-250</t>
  </si>
  <si>
    <t>Membrane Insulation – Sewage Network</t>
  </si>
  <si>
    <t>PRO-R11-SW-DL-130</t>
  </si>
  <si>
    <t>Material Delivery &amp; Site Inspection of Membrane Insulation for Sewage Network</t>
  </si>
  <si>
    <t>PRO-R14-SW-DL-130</t>
  </si>
  <si>
    <t>PRO-R16-SW-DL-130</t>
  </si>
  <si>
    <t>PRO-R15-SW-DL-130</t>
  </si>
  <si>
    <t>PRO-R17-SW-DL-130</t>
  </si>
  <si>
    <t>PRO-R10-SW-DL-130</t>
  </si>
  <si>
    <t>PRO-R10-SL-DL-140</t>
  </si>
  <si>
    <t>PRO-R11-SL-DL-140</t>
  </si>
  <si>
    <t>PRO-R14-SL-DL-140</t>
  </si>
  <si>
    <t>PRO-R15-SL-DL-140</t>
  </si>
  <si>
    <t>PRO-R17-SL-DL-130</t>
  </si>
  <si>
    <t>PRO-R15-SD-DL-150</t>
  </si>
  <si>
    <t>PRO-R11-SL-DL-130</t>
  </si>
  <si>
    <t>PRO-R09-SL-DL-130</t>
  </si>
  <si>
    <t>PRO-R15-SL-DL-130</t>
  </si>
  <si>
    <t>PRO-R14-SL-DL-130</t>
  </si>
  <si>
    <t>PRO-R16-SL-DL-130</t>
  </si>
  <si>
    <t>Medium Voltage Cables – Medium Voltage Network</t>
  </si>
  <si>
    <t>PRO-R09-MV-DL-100</t>
  </si>
  <si>
    <t>Material Delivery &amp; Site Inspection of Medium Voltage Cables for Medium Voltage Network</t>
  </si>
  <si>
    <t>PRO-R14-SD-DL-140</t>
  </si>
  <si>
    <t>PRO-R14-RD-DL-150</t>
  </si>
  <si>
    <t>Material Delivery &amp; Site Inspection of Road Markings For Road Works</t>
  </si>
  <si>
    <t>PRO-R11-RD-DL-140</t>
  </si>
  <si>
    <t>Material Delivery &amp; Site Inspection of Traffic Signs Boards For Road Works</t>
  </si>
  <si>
    <t>PRO-R09-RD-DL-140</t>
  </si>
  <si>
    <t>PRO-R09-RD-DL-150</t>
  </si>
  <si>
    <t>PRO-R11-RD-DL-150</t>
  </si>
  <si>
    <t>PRO-R17-RD-DL-140</t>
  </si>
  <si>
    <t>PRO-R18-RD-DL-210</t>
  </si>
  <si>
    <t>PRO-R18-RD-DL-200</t>
  </si>
  <si>
    <t>PRO-R15-RD-DL-140</t>
  </si>
  <si>
    <t>PRO-R14-RD-DL-140</t>
  </si>
  <si>
    <t>PRO-R15-RD-DL-150</t>
  </si>
  <si>
    <t>PRO-R17-RD-DL-150</t>
  </si>
  <si>
    <t>PRO-R16-RD-DL-150</t>
  </si>
  <si>
    <t>PRO-R16-RD-DL-140</t>
  </si>
  <si>
    <t>PRO-R10-RD-DL-150</t>
  </si>
  <si>
    <t>PRO-R10-RD-DL-140</t>
  </si>
  <si>
    <t>Sewage Pump Stations ( PS06 )</t>
  </si>
  <si>
    <t>Electromechanical Works – Sewage Pump Stations ( PS06 )</t>
  </si>
  <si>
    <t>PRO-SPS7-LL-MSI-10</t>
  </si>
  <si>
    <t>Material Site Inspection for Electromechanical Works for Sewage Pump Stations ( PS06 )</t>
  </si>
  <si>
    <t>Electromechanical Works – Sewage Pump Stations ( PS 06 )</t>
  </si>
  <si>
    <t>PRO-SPS7-LL-SH/DL-10</t>
  </si>
  <si>
    <t>Material Delivery for Electromechanical Works for Sewage Pump Stations ( PS 06 )</t>
  </si>
  <si>
    <t>Prime Coat – Road Works</t>
  </si>
  <si>
    <t>PRO-R10-RD-DL-160</t>
  </si>
  <si>
    <t>Material Delivery &amp; Site Inspection for Prime Coat of Road Works</t>
  </si>
  <si>
    <t>Bituminous Base &amp; Wearing Courses – Road Works</t>
  </si>
  <si>
    <t>PRO-R10-RD-DL-170</t>
  </si>
  <si>
    <t>Material Delivery &amp; Site Inspection for Bituminous Base &amp; Wearing Courses of Road Works</t>
  </si>
  <si>
    <t>PRO-R09-RD-DL-160</t>
  </si>
  <si>
    <t>PRO-R09-RD-DL-170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</si>
</sst>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"/>
  </numFmts>
  <fonts count="7" x14ac:knownFonts="1">
    <font>
      <sz val="11"/>
      <color theme="1"/>
      <name val="Calibri"/>
      <family val="2"/>
      <charset val="1"/>
    </font>
    <font>
      <b/>
      <sz val="14"/>
      <color rgb="FF1F3A5F"/>
      <name val="Arial"/>
      <charset val="1"/>
    </font>
    <font>
      <i/>
      <sz val="9"/>
      <color rgb="FF555555"/>
      <name val="Arial"/>
      <charset val="1"/>
    </font>
    <font>
      <b/>
      <sz val="11"/>
      <color rgb="FFFFFFFF"/>
      <name val="Arial"/>
      <charset val="1"/>
    </font>
    <font>
      <sz val="10"/>
      <name val="Arial"/>
      <charset val="1"/>
    </font>
    <font>
      <b/>
      <sz val="10"/>
      <name val="Arial"/>
      <charset val="1"/>
    </font>
    <font>
      <b/>
      <sz val="13"/>
      <color rgb="FF1F3A5F"/>
      <name val="Arial"/>
      <charset val="1"/>
    </font>
  </fonts>
  <fills count="3">
    <fill>
      <patternFill patternType="none"/>
    </fill>
    <fill>
      <patternFill patternType="gray125"/>
    </fill>
    <fill>
      <patternFill patternType="solid">
        <fgColor rgb="FF1F3A5F"/>
        <bgColor rgb="FF333333"/>
      </patternFill>
    </fill>
  </fills>
  <borders count="2">
    <border>
      <left/>
      <right/>
      <top/>
      <bottom/>
      <diagonal/>
    </border>
    <border>
      <left/>
      <right/>
      <top/>
      <bottom style="thin">
        <color rgb="FFD0D7DE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0" xfId="0" applyFont="1" applyFill="1"/>
    <xf numFmtId="0" fontId="4" fillId="0" borderId="1" xfId="0" applyFont="1" applyBorder="1"/>
    <xf numFmtId="0" fontId="5" fillId="0" borderId="1" xfId="0" applyFont="1" applyBorder="1"/>
    <xf numFmtId="1" fontId="5" fillId="0" borderId="1" xfId="0" applyNumberFormat="1" applyFont="1" applyBorder="1"/>
    <xf numFmtId="0" fontId="6" fillId="0" borderId="0" xfId="0" applyFont="1"/>
    <xf numFmtId="0" fontId="3" fillId="2" borderId="0" xfId="0" applyFont="1" applyFill="1" applyAlignment="1">
      <alignment horizontal="center" vertical="center" wrapText="1"/>
    </xf>
    <xf numFmtId="0" fontId="4" fillId="0" borderId="0" xfId="0" applyFont="1"/>
    <xf numFmtId="0" fontId="4" fillId="0" borderId="1" xfId="0" applyFont="1" applyBorder="1" applyAlignment="1">
      <alignment vertical="top" wrapText="1"/>
    </xf>
    <xf numFmtId="9" fontId="4" fillId="0" borderId="1" xfId="0" applyNumberFormat="1" applyFont="1" applyBorder="1" applyAlignment="1">
      <alignment vertical="top" wrapText="1"/>
    </xf>
    <xf numFmtId="164" fontId="4" fillId="0" borderId="1" xfId="0" applyNumberFormat="1" applyFont="1" applyBorder="1" applyAlignment="1">
      <alignment vertical="top" wrapText="1"/>
    </xf>
    <xf numFmtId="0" fontId="5" fillId="0" borderId="1" xfId="0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0D7D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1F3A5F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0"/>
  <sheetViews>
    <sheetView showGridLines="0" rightToLeft="1" zoomScaleNormal="100" workbookViewId="0">
      <selection activeCell="F19" sqref="F19"/>
    </sheetView>
  </sheetViews>
  <sheetFormatPr defaultColWidth="8.6640625" defaultRowHeight="14.4" x14ac:dyDescent="0.3"/>
  <cols>
    <col min="1" max="1" width="48" customWidth="1"/>
    <col min="2" max="2" width="12" customWidth="1"/>
    <col min="3" max="3" width="30" customWidth="1"/>
  </cols>
  <sheetData>
    <row r="1" spans="1:3" ht="17.399999999999999" x14ac:dyDescent="0.3">
      <c r="A1" s="1" t="s">
        <v>0</v>
      </c>
    </row>
    <row r="2" spans="1:3" x14ac:dyDescent="0.3">
      <c r="A2" s="2" t="s">
        <v>1</v>
      </c>
    </row>
    <row r="4" spans="1:3" x14ac:dyDescent="0.3">
      <c r="A4" s="3" t="s">
        <v>2</v>
      </c>
      <c r="B4" s="3" t="s">
        <v>3</v>
      </c>
      <c r="C4" s="3" t="s">
        <v>4</v>
      </c>
    </row>
    <row r="5" spans="1:3" x14ac:dyDescent="0.3">
      <c r="A5" s="4" t="s">
        <v>5</v>
      </c>
      <c r="B5" s="5">
        <f>COUNTA('1 تعارض التوريد'!D5:D31)</f>
        <v>27</v>
      </c>
      <c r="C5" s="4" t="s">
        <v>6</v>
      </c>
    </row>
    <row r="6" spans="1:3" x14ac:dyDescent="0.3">
      <c r="A6" s="4" t="s">
        <v>7</v>
      </c>
      <c r="B6" s="5">
        <v>9</v>
      </c>
      <c r="C6" s="4" t="s">
        <v>6</v>
      </c>
    </row>
    <row r="7" spans="1:3" x14ac:dyDescent="0.3">
      <c r="A7" s="4" t="s">
        <v>8</v>
      </c>
      <c r="B7" s="5">
        <f>COUNTA('2 أعمال قبل التوريد'!C5:C32)</f>
        <v>28</v>
      </c>
      <c r="C7" s="4" t="s">
        <v>9</v>
      </c>
    </row>
    <row r="8" spans="1:3" x14ac:dyDescent="0.3">
      <c r="A8" s="4" t="s">
        <v>10</v>
      </c>
      <c r="B8" s="5">
        <f>COUNTA('3 المواد المتأخرة في التوريد'!D5:D137)</f>
        <v>133</v>
      </c>
      <c r="C8" s="4" t="s">
        <v>11</v>
      </c>
    </row>
    <row r="9" spans="1:3" x14ac:dyDescent="0.3">
      <c r="A9" s="4" t="s">
        <v>12</v>
      </c>
      <c r="B9" s="6">
        <f>AVERAGE('3 المواد المتأخرة في التوريد'!L5:L137)</f>
        <v>377.94736842105266</v>
      </c>
      <c r="C9" s="4" t="s">
        <v>11</v>
      </c>
    </row>
    <row r="10" spans="1:3" x14ac:dyDescent="0.3">
      <c r="A10" s="4" t="s">
        <v>13</v>
      </c>
      <c r="B10" s="5">
        <f>MAX('3 المواد المتأخرة في التوريد'!L5:L137)</f>
        <v>521</v>
      </c>
      <c r="C10" s="4" t="s">
        <v>11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31"/>
  <sheetViews>
    <sheetView showGridLines="0" rightToLeft="1" zoomScaleNormal="100" workbookViewId="0">
      <pane xSplit="1" ySplit="4" topLeftCell="B5" activePane="bottomRight" state="frozen"/>
      <selection pane="topRight" activeCell="B1" sqref="B1"/>
      <selection pane="bottomLeft" activeCell="A5" sqref="A5"/>
      <selection pane="bottomRight" activeCell="C9" sqref="C9:C10"/>
    </sheetView>
  </sheetViews>
  <sheetFormatPr defaultColWidth="8.6640625" defaultRowHeight="14.4" x14ac:dyDescent="0.3"/>
  <cols>
    <col min="1" max="1" width="5" customWidth="1"/>
    <col min="2" max="2" width="22" customWidth="1"/>
    <col min="3" max="3" width="36" customWidth="1"/>
    <col min="4" max="4" width="18" customWidth="1"/>
    <col min="5" max="5" width="50" customWidth="1"/>
    <col min="6" max="6" width="9" customWidth="1"/>
    <col min="7" max="7" width="20" customWidth="1"/>
    <col min="8" max="8" width="55" customWidth="1"/>
    <col min="9" max="9" width="9" customWidth="1"/>
    <col min="10" max="10" width="10" customWidth="1"/>
  </cols>
  <sheetData>
    <row r="1" spans="1:10" ht="16.8" x14ac:dyDescent="0.3">
      <c r="A1" s="7" t="s">
        <v>14</v>
      </c>
    </row>
    <row r="2" spans="1:10" x14ac:dyDescent="0.3">
      <c r="A2" s="2"/>
    </row>
    <row r="4" spans="1:10" ht="36" customHeight="1" x14ac:dyDescent="0.3">
      <c r="A4" s="8" t="s">
        <v>15</v>
      </c>
      <c r="B4" s="8" t="s">
        <v>16</v>
      </c>
      <c r="C4" s="8" t="s">
        <v>17</v>
      </c>
      <c r="D4" s="8" t="s">
        <v>18</v>
      </c>
      <c r="E4" s="8" t="s">
        <v>19</v>
      </c>
      <c r="F4" s="8" t="s">
        <v>20</v>
      </c>
      <c r="G4" s="8" t="s">
        <v>21</v>
      </c>
      <c r="H4" s="8" t="s">
        <v>22</v>
      </c>
      <c r="I4" s="8" t="s">
        <v>20</v>
      </c>
      <c r="J4" s="8" t="s">
        <v>23</v>
      </c>
    </row>
    <row r="5" spans="1:10" ht="26.4" x14ac:dyDescent="0.3">
      <c r="A5" s="9">
        <v>1</v>
      </c>
      <c r="B5" s="10" t="s">
        <v>24</v>
      </c>
      <c r="C5" s="10" t="s">
        <v>25</v>
      </c>
      <c r="D5" s="10" t="s">
        <v>26</v>
      </c>
      <c r="E5" s="10" t="s">
        <v>27</v>
      </c>
      <c r="F5" s="10" t="s">
        <v>28</v>
      </c>
      <c r="G5" s="10" t="s">
        <v>29</v>
      </c>
      <c r="H5" s="10" t="s">
        <v>30</v>
      </c>
      <c r="I5" s="10" t="s">
        <v>31</v>
      </c>
      <c r="J5" s="11">
        <v>1</v>
      </c>
    </row>
    <row r="6" spans="1:10" ht="26.4" x14ac:dyDescent="0.3">
      <c r="A6" s="9">
        <v>2</v>
      </c>
      <c r="B6" s="10" t="s">
        <v>24</v>
      </c>
      <c r="C6" s="10" t="s">
        <v>25</v>
      </c>
      <c r="D6" s="10" t="s">
        <v>26</v>
      </c>
      <c r="E6" s="10" t="s">
        <v>27</v>
      </c>
      <c r="F6" s="10" t="s">
        <v>28</v>
      </c>
      <c r="G6" s="10" t="s">
        <v>32</v>
      </c>
      <c r="H6" s="10" t="s">
        <v>30</v>
      </c>
      <c r="I6" s="10" t="s">
        <v>31</v>
      </c>
      <c r="J6" s="11">
        <v>1</v>
      </c>
    </row>
    <row r="7" spans="1:10" ht="26.4" x14ac:dyDescent="0.3">
      <c r="A7" s="9">
        <v>3</v>
      </c>
      <c r="B7" s="10" t="s">
        <v>24</v>
      </c>
      <c r="C7" s="10" t="s">
        <v>25</v>
      </c>
      <c r="D7" s="10" t="s">
        <v>26</v>
      </c>
      <c r="E7" s="10" t="s">
        <v>27</v>
      </c>
      <c r="F7" s="10" t="s">
        <v>28</v>
      </c>
      <c r="G7" s="10" t="s">
        <v>33</v>
      </c>
      <c r="H7" s="10" t="s">
        <v>30</v>
      </c>
      <c r="I7" s="10" t="s">
        <v>31</v>
      </c>
      <c r="J7" s="11">
        <v>1</v>
      </c>
    </row>
    <row r="8" spans="1:10" ht="26.4" x14ac:dyDescent="0.3">
      <c r="A8" s="9">
        <v>4</v>
      </c>
      <c r="B8" s="10" t="s">
        <v>24</v>
      </c>
      <c r="C8" s="10" t="s">
        <v>25</v>
      </c>
      <c r="D8" s="10" t="s">
        <v>26</v>
      </c>
      <c r="E8" s="10" t="s">
        <v>27</v>
      </c>
      <c r="F8" s="10" t="s">
        <v>28</v>
      </c>
      <c r="G8" s="10" t="s">
        <v>34</v>
      </c>
      <c r="H8" s="10" t="s">
        <v>30</v>
      </c>
      <c r="I8" s="10" t="s">
        <v>31</v>
      </c>
      <c r="J8" s="11">
        <v>1</v>
      </c>
    </row>
    <row r="9" spans="1:10" ht="26.4" x14ac:dyDescent="0.3">
      <c r="A9" s="9">
        <v>5</v>
      </c>
      <c r="B9" s="10" t="s">
        <v>35</v>
      </c>
      <c r="C9" s="10" t="s">
        <v>36</v>
      </c>
      <c r="D9" s="10" t="s">
        <v>37</v>
      </c>
      <c r="E9" s="10" t="s">
        <v>38</v>
      </c>
      <c r="F9" s="10" t="s">
        <v>28</v>
      </c>
      <c r="G9" s="10" t="s">
        <v>39</v>
      </c>
      <c r="H9" s="10" t="s">
        <v>40</v>
      </c>
      <c r="I9" s="10" t="s">
        <v>31</v>
      </c>
      <c r="J9" s="11">
        <v>1</v>
      </c>
    </row>
    <row r="10" spans="1:10" ht="26.4" x14ac:dyDescent="0.3">
      <c r="A10" s="9">
        <v>6</v>
      </c>
      <c r="B10" s="10" t="s">
        <v>35</v>
      </c>
      <c r="C10" s="10" t="s">
        <v>36</v>
      </c>
      <c r="D10" s="10" t="s">
        <v>37</v>
      </c>
      <c r="E10" s="10" t="s">
        <v>38</v>
      </c>
      <c r="F10" s="10" t="s">
        <v>28</v>
      </c>
      <c r="G10" s="10" t="s">
        <v>41</v>
      </c>
      <c r="H10" s="10" t="s">
        <v>40</v>
      </c>
      <c r="I10" s="10" t="s">
        <v>31</v>
      </c>
      <c r="J10" s="11">
        <v>1</v>
      </c>
    </row>
    <row r="11" spans="1:10" ht="26.4" x14ac:dyDescent="0.3">
      <c r="A11" s="9">
        <v>7</v>
      </c>
      <c r="B11" s="10" t="s">
        <v>35</v>
      </c>
      <c r="C11" s="10" t="s">
        <v>36</v>
      </c>
      <c r="D11" s="10" t="s">
        <v>37</v>
      </c>
      <c r="E11" s="10" t="s">
        <v>38</v>
      </c>
      <c r="F11" s="10" t="s">
        <v>28</v>
      </c>
      <c r="G11" s="10" t="s">
        <v>42</v>
      </c>
      <c r="H11" s="10" t="s">
        <v>40</v>
      </c>
      <c r="I11" s="10" t="s">
        <v>31</v>
      </c>
      <c r="J11" s="11">
        <v>1</v>
      </c>
    </row>
    <row r="12" spans="1:10" ht="26.4" x14ac:dyDescent="0.3">
      <c r="A12" s="9">
        <v>8</v>
      </c>
      <c r="B12" s="10" t="s">
        <v>35</v>
      </c>
      <c r="C12" s="10" t="s">
        <v>36</v>
      </c>
      <c r="D12" s="10" t="s">
        <v>37</v>
      </c>
      <c r="E12" s="10" t="s">
        <v>38</v>
      </c>
      <c r="F12" s="10" t="s">
        <v>28</v>
      </c>
      <c r="G12" s="10" t="s">
        <v>43</v>
      </c>
      <c r="H12" s="10" t="s">
        <v>40</v>
      </c>
      <c r="I12" s="10" t="s">
        <v>31</v>
      </c>
      <c r="J12" s="11">
        <v>1</v>
      </c>
    </row>
    <row r="13" spans="1:10" ht="26.4" x14ac:dyDescent="0.3">
      <c r="A13" s="9">
        <v>9</v>
      </c>
      <c r="B13" s="10" t="s">
        <v>35</v>
      </c>
      <c r="C13" s="10" t="s">
        <v>36</v>
      </c>
      <c r="D13" s="10" t="s">
        <v>37</v>
      </c>
      <c r="E13" s="10" t="s">
        <v>38</v>
      </c>
      <c r="F13" s="10" t="s">
        <v>28</v>
      </c>
      <c r="G13" s="10" t="s">
        <v>44</v>
      </c>
      <c r="H13" s="10" t="s">
        <v>40</v>
      </c>
      <c r="I13" s="10" t="s">
        <v>31</v>
      </c>
      <c r="J13" s="11">
        <v>1</v>
      </c>
    </row>
    <row r="14" spans="1:10" ht="26.4" x14ac:dyDescent="0.3">
      <c r="A14" s="9">
        <v>10</v>
      </c>
      <c r="B14" s="10" t="s">
        <v>35</v>
      </c>
      <c r="C14" s="10" t="s">
        <v>36</v>
      </c>
      <c r="D14" s="10" t="s">
        <v>37</v>
      </c>
      <c r="E14" s="10" t="s">
        <v>38</v>
      </c>
      <c r="F14" s="10" t="s">
        <v>28</v>
      </c>
      <c r="G14" s="10" t="s">
        <v>45</v>
      </c>
      <c r="H14" s="10" t="s">
        <v>40</v>
      </c>
      <c r="I14" s="10" t="s">
        <v>31</v>
      </c>
      <c r="J14" s="11">
        <v>1</v>
      </c>
    </row>
    <row r="15" spans="1:10" ht="26.4" x14ac:dyDescent="0.3">
      <c r="A15" s="9">
        <v>11</v>
      </c>
      <c r="B15" s="10" t="s">
        <v>35</v>
      </c>
      <c r="C15" s="10" t="s">
        <v>36</v>
      </c>
      <c r="D15" s="10" t="s">
        <v>37</v>
      </c>
      <c r="E15" s="10" t="s">
        <v>38</v>
      </c>
      <c r="F15" s="10" t="s">
        <v>28</v>
      </c>
      <c r="G15" s="10" t="s">
        <v>46</v>
      </c>
      <c r="H15" s="10" t="s">
        <v>40</v>
      </c>
      <c r="I15" s="10" t="s">
        <v>31</v>
      </c>
      <c r="J15" s="11">
        <v>1</v>
      </c>
    </row>
    <row r="16" spans="1:10" ht="26.4" x14ac:dyDescent="0.3">
      <c r="A16" s="9">
        <v>12</v>
      </c>
      <c r="B16" s="10" t="s">
        <v>35</v>
      </c>
      <c r="C16" s="10" t="s">
        <v>36</v>
      </c>
      <c r="D16" s="10" t="s">
        <v>37</v>
      </c>
      <c r="E16" s="10" t="s">
        <v>38</v>
      </c>
      <c r="F16" s="10" t="s">
        <v>28</v>
      </c>
      <c r="G16" s="10" t="s">
        <v>47</v>
      </c>
      <c r="H16" s="10" t="s">
        <v>40</v>
      </c>
      <c r="I16" s="10" t="s">
        <v>31</v>
      </c>
      <c r="J16" s="11">
        <v>1</v>
      </c>
    </row>
    <row r="17" spans="1:10" ht="26.4" x14ac:dyDescent="0.3">
      <c r="A17" s="9">
        <v>13</v>
      </c>
      <c r="B17" s="10" t="s">
        <v>35</v>
      </c>
      <c r="C17" s="10" t="s">
        <v>48</v>
      </c>
      <c r="D17" s="10" t="s">
        <v>49</v>
      </c>
      <c r="E17" s="10" t="s">
        <v>50</v>
      </c>
      <c r="F17" s="10" t="s">
        <v>28</v>
      </c>
      <c r="G17" s="10" t="s">
        <v>51</v>
      </c>
      <c r="H17" s="10" t="s">
        <v>52</v>
      </c>
      <c r="I17" s="10" t="s">
        <v>31</v>
      </c>
      <c r="J17" s="11">
        <v>1</v>
      </c>
    </row>
    <row r="18" spans="1:10" ht="26.4" x14ac:dyDescent="0.3">
      <c r="A18" s="9">
        <v>14</v>
      </c>
      <c r="B18" s="10" t="s">
        <v>35</v>
      </c>
      <c r="C18" s="10" t="s">
        <v>48</v>
      </c>
      <c r="D18" s="10" t="s">
        <v>49</v>
      </c>
      <c r="E18" s="10" t="s">
        <v>50</v>
      </c>
      <c r="F18" s="10" t="s">
        <v>28</v>
      </c>
      <c r="G18" s="10" t="s">
        <v>53</v>
      </c>
      <c r="H18" s="10" t="s">
        <v>52</v>
      </c>
      <c r="I18" s="10" t="s">
        <v>31</v>
      </c>
      <c r="J18" s="11">
        <v>1</v>
      </c>
    </row>
    <row r="19" spans="1:10" ht="26.4" x14ac:dyDescent="0.3">
      <c r="A19" s="9">
        <v>15</v>
      </c>
      <c r="B19" s="10" t="s">
        <v>35</v>
      </c>
      <c r="C19" s="10" t="s">
        <v>48</v>
      </c>
      <c r="D19" s="10" t="s">
        <v>49</v>
      </c>
      <c r="E19" s="10" t="s">
        <v>50</v>
      </c>
      <c r="F19" s="10" t="s">
        <v>28</v>
      </c>
      <c r="G19" s="10" t="s">
        <v>54</v>
      </c>
      <c r="H19" s="10" t="s">
        <v>52</v>
      </c>
      <c r="I19" s="10" t="s">
        <v>31</v>
      </c>
      <c r="J19" s="11">
        <v>1</v>
      </c>
    </row>
    <row r="20" spans="1:10" ht="26.4" x14ac:dyDescent="0.3">
      <c r="A20" s="9">
        <v>16</v>
      </c>
      <c r="B20" s="10" t="s">
        <v>35</v>
      </c>
      <c r="C20" s="10" t="s">
        <v>48</v>
      </c>
      <c r="D20" s="10" t="s">
        <v>49</v>
      </c>
      <c r="E20" s="10" t="s">
        <v>50</v>
      </c>
      <c r="F20" s="10" t="s">
        <v>28</v>
      </c>
      <c r="G20" s="10" t="s">
        <v>55</v>
      </c>
      <c r="H20" s="10" t="s">
        <v>52</v>
      </c>
      <c r="I20" s="10" t="s">
        <v>31</v>
      </c>
      <c r="J20" s="11">
        <v>1</v>
      </c>
    </row>
    <row r="21" spans="1:10" ht="26.4" x14ac:dyDescent="0.3">
      <c r="A21" s="9">
        <v>17</v>
      </c>
      <c r="B21" s="10" t="s">
        <v>35</v>
      </c>
      <c r="C21" s="10" t="s">
        <v>48</v>
      </c>
      <c r="D21" s="10" t="s">
        <v>49</v>
      </c>
      <c r="E21" s="10" t="s">
        <v>50</v>
      </c>
      <c r="F21" s="10" t="s">
        <v>28</v>
      </c>
      <c r="G21" s="10" t="s">
        <v>56</v>
      </c>
      <c r="H21" s="10" t="s">
        <v>52</v>
      </c>
      <c r="I21" s="10" t="s">
        <v>31</v>
      </c>
      <c r="J21" s="11">
        <v>1</v>
      </c>
    </row>
    <row r="22" spans="1:10" ht="26.4" x14ac:dyDescent="0.3">
      <c r="A22" s="9">
        <v>18</v>
      </c>
      <c r="B22" s="10" t="s">
        <v>35</v>
      </c>
      <c r="C22" s="10" t="s">
        <v>48</v>
      </c>
      <c r="D22" s="10" t="s">
        <v>49</v>
      </c>
      <c r="E22" s="10" t="s">
        <v>50</v>
      </c>
      <c r="F22" s="10" t="s">
        <v>28</v>
      </c>
      <c r="G22" s="10" t="s">
        <v>57</v>
      </c>
      <c r="H22" s="10" t="s">
        <v>52</v>
      </c>
      <c r="I22" s="10" t="s">
        <v>31</v>
      </c>
      <c r="J22" s="11">
        <v>1</v>
      </c>
    </row>
    <row r="23" spans="1:10" ht="26.4" x14ac:dyDescent="0.3">
      <c r="A23" s="9">
        <v>19</v>
      </c>
      <c r="B23" s="10" t="s">
        <v>35</v>
      </c>
      <c r="C23" s="10" t="s">
        <v>48</v>
      </c>
      <c r="D23" s="10" t="s">
        <v>49</v>
      </c>
      <c r="E23" s="10" t="s">
        <v>50</v>
      </c>
      <c r="F23" s="10" t="s">
        <v>28</v>
      </c>
      <c r="G23" s="10" t="s">
        <v>58</v>
      </c>
      <c r="H23" s="10" t="s">
        <v>52</v>
      </c>
      <c r="I23" s="10" t="s">
        <v>31</v>
      </c>
      <c r="J23" s="11">
        <v>1</v>
      </c>
    </row>
    <row r="24" spans="1:10" ht="26.4" x14ac:dyDescent="0.3">
      <c r="A24" s="9">
        <v>20</v>
      </c>
      <c r="B24" s="10" t="s">
        <v>35</v>
      </c>
      <c r="C24" s="10" t="s">
        <v>48</v>
      </c>
      <c r="D24" s="10" t="s">
        <v>49</v>
      </c>
      <c r="E24" s="10" t="s">
        <v>50</v>
      </c>
      <c r="F24" s="10" t="s">
        <v>28</v>
      </c>
      <c r="G24" s="10" t="s">
        <v>59</v>
      </c>
      <c r="H24" s="10" t="s">
        <v>52</v>
      </c>
      <c r="I24" s="10" t="s">
        <v>31</v>
      </c>
      <c r="J24" s="11">
        <v>1</v>
      </c>
    </row>
    <row r="25" spans="1:10" ht="26.4" x14ac:dyDescent="0.3">
      <c r="A25" s="9">
        <v>21</v>
      </c>
      <c r="B25" s="10" t="s">
        <v>60</v>
      </c>
      <c r="C25" s="10" t="s">
        <v>61</v>
      </c>
      <c r="D25" s="10" t="s">
        <v>62</v>
      </c>
      <c r="E25" s="10" t="s">
        <v>63</v>
      </c>
      <c r="F25" s="10" t="s">
        <v>28</v>
      </c>
      <c r="G25" s="10" t="s">
        <v>64</v>
      </c>
      <c r="H25" s="10" t="s">
        <v>65</v>
      </c>
      <c r="I25" s="10" t="s">
        <v>31</v>
      </c>
      <c r="J25" s="11">
        <v>1</v>
      </c>
    </row>
    <row r="26" spans="1:10" ht="26.4" x14ac:dyDescent="0.3">
      <c r="A26" s="9">
        <v>22</v>
      </c>
      <c r="B26" s="10" t="s">
        <v>66</v>
      </c>
      <c r="C26" s="10" t="s">
        <v>67</v>
      </c>
      <c r="D26" s="10" t="s">
        <v>68</v>
      </c>
      <c r="E26" s="10" t="s">
        <v>69</v>
      </c>
      <c r="F26" s="10" t="s">
        <v>28</v>
      </c>
      <c r="G26" s="10" t="s">
        <v>70</v>
      </c>
      <c r="H26" s="10" t="s">
        <v>71</v>
      </c>
      <c r="I26" s="10" t="s">
        <v>31</v>
      </c>
      <c r="J26" s="11">
        <v>1</v>
      </c>
    </row>
    <row r="27" spans="1:10" ht="26.4" x14ac:dyDescent="0.3">
      <c r="A27" s="9">
        <v>23</v>
      </c>
      <c r="B27" s="10" t="s">
        <v>72</v>
      </c>
      <c r="C27" s="10" t="s">
        <v>73</v>
      </c>
      <c r="D27" s="10" t="s">
        <v>74</v>
      </c>
      <c r="E27" s="10" t="s">
        <v>75</v>
      </c>
      <c r="F27" s="10" t="s">
        <v>28</v>
      </c>
      <c r="G27" s="10" t="s">
        <v>76</v>
      </c>
      <c r="H27" s="10" t="s">
        <v>77</v>
      </c>
      <c r="I27" s="10" t="s">
        <v>78</v>
      </c>
      <c r="J27" s="11">
        <v>0.85</v>
      </c>
    </row>
    <row r="28" spans="1:10" ht="26.4" x14ac:dyDescent="0.3">
      <c r="A28" s="9">
        <v>24</v>
      </c>
      <c r="B28" s="10" t="s">
        <v>79</v>
      </c>
      <c r="C28" s="10" t="s">
        <v>80</v>
      </c>
      <c r="D28" s="10" t="s">
        <v>81</v>
      </c>
      <c r="E28" s="10" t="s">
        <v>82</v>
      </c>
      <c r="F28" s="10" t="s">
        <v>28</v>
      </c>
      <c r="G28" s="10" t="s">
        <v>83</v>
      </c>
      <c r="H28" s="10" t="s">
        <v>84</v>
      </c>
      <c r="I28" s="10" t="s">
        <v>78</v>
      </c>
      <c r="J28" s="11">
        <v>0.8</v>
      </c>
    </row>
    <row r="29" spans="1:10" ht="26.4" x14ac:dyDescent="0.3">
      <c r="A29" s="9">
        <v>25</v>
      </c>
      <c r="B29" s="10" t="s">
        <v>79</v>
      </c>
      <c r="C29" s="10" t="s">
        <v>85</v>
      </c>
      <c r="D29" s="10" t="s">
        <v>86</v>
      </c>
      <c r="E29" s="10" t="s">
        <v>87</v>
      </c>
      <c r="F29" s="10" t="s">
        <v>28</v>
      </c>
      <c r="G29" s="10" t="s">
        <v>88</v>
      </c>
      <c r="H29" s="10" t="s">
        <v>89</v>
      </c>
      <c r="I29" s="10" t="s">
        <v>31</v>
      </c>
      <c r="J29" s="11">
        <v>1</v>
      </c>
    </row>
    <row r="30" spans="1:10" ht="26.4" x14ac:dyDescent="0.3">
      <c r="A30" s="9">
        <v>26</v>
      </c>
      <c r="B30" s="10" t="s">
        <v>79</v>
      </c>
      <c r="C30" s="10" t="s">
        <v>85</v>
      </c>
      <c r="D30" s="10" t="s">
        <v>86</v>
      </c>
      <c r="E30" s="10" t="s">
        <v>87</v>
      </c>
      <c r="F30" s="10" t="s">
        <v>28</v>
      </c>
      <c r="G30" s="10" t="s">
        <v>90</v>
      </c>
      <c r="H30" s="10" t="s">
        <v>89</v>
      </c>
      <c r="I30" s="10" t="s">
        <v>78</v>
      </c>
      <c r="J30" s="11">
        <v>0.8</v>
      </c>
    </row>
    <row r="31" spans="1:10" ht="26.4" x14ac:dyDescent="0.3">
      <c r="A31" s="9">
        <v>27</v>
      </c>
      <c r="B31" s="10" t="s">
        <v>79</v>
      </c>
      <c r="C31" s="10" t="s">
        <v>91</v>
      </c>
      <c r="D31" s="10" t="s">
        <v>92</v>
      </c>
      <c r="E31" s="10" t="s">
        <v>93</v>
      </c>
      <c r="F31" s="10" t="s">
        <v>28</v>
      </c>
      <c r="G31" s="10" t="s">
        <v>94</v>
      </c>
      <c r="H31" s="10" t="s">
        <v>95</v>
      </c>
      <c r="I31" s="10" t="s">
        <v>78</v>
      </c>
      <c r="J31" s="11">
        <v>0.8</v>
      </c>
    </row>
  </sheetData>
  <autoFilter ref="A4:J31" xr:uid="{00000000-0009-0000-0000-000001000000}"/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32"/>
  <sheetViews>
    <sheetView showGridLines="0" rightToLeft="1" zoomScaleNormal="100" workbookViewId="0">
      <pane xSplit="1" ySplit="4" topLeftCell="B5" activePane="bottomRight" state="frozen"/>
      <selection pane="topRight" activeCell="B1" sqref="B1"/>
      <selection pane="bottomLeft" activeCell="A5" sqref="A5"/>
      <selection pane="bottomRight" activeCell="C1" sqref="C1:C1048576"/>
    </sheetView>
  </sheetViews>
  <sheetFormatPr defaultColWidth="8.6640625" defaultRowHeight="14.4" x14ac:dyDescent="0.3"/>
  <cols>
    <col min="1" max="1" width="5" customWidth="1"/>
    <col min="2" max="2" width="22" customWidth="1"/>
    <col min="3" max="3" width="20" customWidth="1"/>
    <col min="4" max="4" width="55" customWidth="1"/>
    <col min="5" max="5" width="9" customWidth="1"/>
    <col min="6" max="6" width="20" customWidth="1"/>
    <col min="7" max="7" width="60" customWidth="1"/>
    <col min="8" max="8" width="9" customWidth="1"/>
    <col min="9" max="9" width="10" customWidth="1"/>
  </cols>
  <sheetData>
    <row r="1" spans="1:9" ht="16.8" x14ac:dyDescent="0.3">
      <c r="A1" s="7" t="s">
        <v>96</v>
      </c>
    </row>
    <row r="2" spans="1:9" x14ac:dyDescent="0.3">
      <c r="A2" s="2"/>
    </row>
    <row r="4" spans="1:9" ht="36" customHeight="1" x14ac:dyDescent="0.3">
      <c r="A4" s="8" t="s">
        <v>15</v>
      </c>
      <c r="B4" s="8" t="s">
        <v>16</v>
      </c>
      <c r="C4" s="8" t="s">
        <v>97</v>
      </c>
      <c r="D4" s="8" t="s">
        <v>98</v>
      </c>
      <c r="E4" s="8" t="s">
        <v>20</v>
      </c>
      <c r="F4" s="8" t="s">
        <v>99</v>
      </c>
      <c r="G4" s="8" t="s">
        <v>100</v>
      </c>
      <c r="H4" s="8" t="s">
        <v>20</v>
      </c>
      <c r="I4" s="8" t="s">
        <v>23</v>
      </c>
    </row>
    <row r="5" spans="1:9" ht="26.4" x14ac:dyDescent="0.3">
      <c r="A5" s="9">
        <v>1</v>
      </c>
      <c r="B5" s="10" t="s">
        <v>66</v>
      </c>
      <c r="C5" s="10" t="s">
        <v>68</v>
      </c>
      <c r="D5" s="10" t="s">
        <v>69</v>
      </c>
      <c r="E5" s="10" t="s">
        <v>28</v>
      </c>
      <c r="F5" s="10" t="s">
        <v>101</v>
      </c>
      <c r="G5" s="10" t="s">
        <v>102</v>
      </c>
      <c r="H5" s="10" t="s">
        <v>31</v>
      </c>
      <c r="I5" s="11">
        <v>1</v>
      </c>
    </row>
    <row r="6" spans="1:9" ht="26.4" x14ac:dyDescent="0.3">
      <c r="A6" s="9">
        <v>2</v>
      </c>
      <c r="B6" s="10" t="s">
        <v>35</v>
      </c>
      <c r="C6" s="10" t="s">
        <v>49</v>
      </c>
      <c r="D6" s="10" t="s">
        <v>50</v>
      </c>
      <c r="E6" s="10" t="s">
        <v>28</v>
      </c>
      <c r="F6" s="10" t="s">
        <v>103</v>
      </c>
      <c r="G6" s="10" t="s">
        <v>104</v>
      </c>
      <c r="H6" s="10" t="s">
        <v>78</v>
      </c>
      <c r="I6" s="11">
        <v>0.5</v>
      </c>
    </row>
    <row r="7" spans="1:9" ht="26.4" x14ac:dyDescent="0.3">
      <c r="A7" s="9">
        <v>3</v>
      </c>
      <c r="B7" s="10" t="s">
        <v>35</v>
      </c>
      <c r="C7" s="10" t="s">
        <v>37</v>
      </c>
      <c r="D7" s="10" t="s">
        <v>38</v>
      </c>
      <c r="E7" s="10" t="s">
        <v>28</v>
      </c>
      <c r="F7" s="10" t="s">
        <v>105</v>
      </c>
      <c r="G7" s="10" t="s">
        <v>106</v>
      </c>
      <c r="H7" s="10" t="s">
        <v>31</v>
      </c>
      <c r="I7" s="11">
        <v>1</v>
      </c>
    </row>
    <row r="8" spans="1:9" ht="26.4" x14ac:dyDescent="0.3">
      <c r="A8" s="9">
        <v>4</v>
      </c>
      <c r="B8" s="10" t="s">
        <v>107</v>
      </c>
      <c r="C8" s="10" t="s">
        <v>108</v>
      </c>
      <c r="D8" s="10" t="s">
        <v>109</v>
      </c>
      <c r="E8" s="10" t="s">
        <v>28</v>
      </c>
      <c r="F8" s="10" t="s">
        <v>110</v>
      </c>
      <c r="G8" s="10" t="s">
        <v>111</v>
      </c>
      <c r="H8" s="10" t="s">
        <v>31</v>
      </c>
      <c r="I8" s="11">
        <v>1</v>
      </c>
    </row>
    <row r="9" spans="1:9" ht="26.4" x14ac:dyDescent="0.3">
      <c r="A9" s="9">
        <v>5</v>
      </c>
      <c r="B9" s="10" t="s">
        <v>107</v>
      </c>
      <c r="C9" s="10" t="s">
        <v>112</v>
      </c>
      <c r="D9" s="10" t="s">
        <v>109</v>
      </c>
      <c r="E9" s="10" t="s">
        <v>28</v>
      </c>
      <c r="F9" s="10" t="s">
        <v>113</v>
      </c>
      <c r="G9" s="10" t="s">
        <v>114</v>
      </c>
      <c r="H9" s="10" t="s">
        <v>31</v>
      </c>
      <c r="I9" s="11">
        <v>1</v>
      </c>
    </row>
    <row r="10" spans="1:9" ht="26.4" x14ac:dyDescent="0.3">
      <c r="A10" s="9">
        <v>6</v>
      </c>
      <c r="B10" s="10" t="s">
        <v>24</v>
      </c>
      <c r="C10" s="10" t="s">
        <v>26</v>
      </c>
      <c r="D10" s="10" t="s">
        <v>27</v>
      </c>
      <c r="E10" s="10" t="s">
        <v>28</v>
      </c>
      <c r="F10" s="10" t="s">
        <v>115</v>
      </c>
      <c r="G10" s="10" t="s">
        <v>116</v>
      </c>
      <c r="H10" s="10" t="s">
        <v>78</v>
      </c>
      <c r="I10" s="11">
        <v>0.2</v>
      </c>
    </row>
    <row r="11" spans="1:9" ht="26.4" x14ac:dyDescent="0.3">
      <c r="A11" s="9">
        <v>7</v>
      </c>
      <c r="B11" s="10" t="s">
        <v>24</v>
      </c>
      <c r="C11" s="10" t="s">
        <v>117</v>
      </c>
      <c r="D11" s="10" t="s">
        <v>30</v>
      </c>
      <c r="E11" s="10" t="s">
        <v>28</v>
      </c>
      <c r="F11" s="10" t="s">
        <v>118</v>
      </c>
      <c r="G11" s="10" t="s">
        <v>119</v>
      </c>
      <c r="H11" s="10" t="s">
        <v>31</v>
      </c>
      <c r="I11" s="11">
        <v>1</v>
      </c>
    </row>
    <row r="12" spans="1:9" ht="26.4" x14ac:dyDescent="0.3">
      <c r="A12" s="9">
        <v>8</v>
      </c>
      <c r="B12" s="10" t="s">
        <v>24</v>
      </c>
      <c r="C12" s="10" t="s">
        <v>120</v>
      </c>
      <c r="D12" s="10" t="s">
        <v>30</v>
      </c>
      <c r="E12" s="10" t="s">
        <v>28</v>
      </c>
      <c r="F12" s="10" t="s">
        <v>121</v>
      </c>
      <c r="G12" s="10" t="s">
        <v>122</v>
      </c>
      <c r="H12" s="10" t="s">
        <v>31</v>
      </c>
      <c r="I12" s="11">
        <v>1</v>
      </c>
    </row>
    <row r="13" spans="1:9" ht="26.4" x14ac:dyDescent="0.3">
      <c r="A13" s="9">
        <v>9</v>
      </c>
      <c r="B13" s="10" t="s">
        <v>24</v>
      </c>
      <c r="C13" s="10" t="s">
        <v>123</v>
      </c>
      <c r="D13" s="10" t="s">
        <v>30</v>
      </c>
      <c r="E13" s="10" t="s">
        <v>28</v>
      </c>
      <c r="F13" s="10" t="s">
        <v>124</v>
      </c>
      <c r="G13" s="10" t="s">
        <v>125</v>
      </c>
      <c r="H13" s="10" t="s">
        <v>31</v>
      </c>
      <c r="I13" s="11">
        <v>1</v>
      </c>
    </row>
    <row r="14" spans="1:9" ht="26.4" x14ac:dyDescent="0.3">
      <c r="A14" s="9">
        <v>10</v>
      </c>
      <c r="B14" s="10" t="s">
        <v>24</v>
      </c>
      <c r="C14" s="10" t="s">
        <v>126</v>
      </c>
      <c r="D14" s="10" t="s">
        <v>30</v>
      </c>
      <c r="E14" s="10" t="s">
        <v>28</v>
      </c>
      <c r="F14" s="10" t="s">
        <v>127</v>
      </c>
      <c r="G14" s="10" t="s">
        <v>128</v>
      </c>
      <c r="H14" s="10" t="s">
        <v>31</v>
      </c>
      <c r="I14" s="11">
        <v>1</v>
      </c>
    </row>
    <row r="15" spans="1:9" ht="26.4" x14ac:dyDescent="0.3">
      <c r="A15" s="9">
        <v>11</v>
      </c>
      <c r="B15" s="10" t="s">
        <v>129</v>
      </c>
      <c r="C15" s="10" t="s">
        <v>130</v>
      </c>
      <c r="D15" s="10" t="s">
        <v>131</v>
      </c>
      <c r="E15" s="10" t="s">
        <v>28</v>
      </c>
      <c r="F15" s="10" t="s">
        <v>132</v>
      </c>
      <c r="G15" s="10" t="s">
        <v>133</v>
      </c>
      <c r="H15" s="10" t="s">
        <v>78</v>
      </c>
      <c r="I15" s="11">
        <v>0.75</v>
      </c>
    </row>
    <row r="16" spans="1:9" ht="26.4" x14ac:dyDescent="0.3">
      <c r="A16" s="9">
        <v>12</v>
      </c>
      <c r="B16" s="10" t="s">
        <v>129</v>
      </c>
      <c r="C16" s="10" t="s">
        <v>134</v>
      </c>
      <c r="D16" s="10" t="s">
        <v>135</v>
      </c>
      <c r="E16" s="10" t="s">
        <v>28</v>
      </c>
      <c r="F16" s="10" t="s">
        <v>136</v>
      </c>
      <c r="G16" s="10" t="s">
        <v>137</v>
      </c>
      <c r="H16" s="10" t="s">
        <v>78</v>
      </c>
      <c r="I16" s="11">
        <v>0.2</v>
      </c>
    </row>
    <row r="17" spans="1:9" ht="26.4" x14ac:dyDescent="0.3">
      <c r="A17" s="9">
        <v>13</v>
      </c>
      <c r="B17" s="10" t="s">
        <v>129</v>
      </c>
      <c r="C17" s="10" t="s">
        <v>138</v>
      </c>
      <c r="D17" s="10" t="s">
        <v>139</v>
      </c>
      <c r="E17" s="10" t="s">
        <v>28</v>
      </c>
      <c r="F17" s="10" t="s">
        <v>140</v>
      </c>
      <c r="G17" s="10" t="s">
        <v>141</v>
      </c>
      <c r="H17" s="10" t="s">
        <v>78</v>
      </c>
      <c r="I17" s="11">
        <v>0.85</v>
      </c>
    </row>
    <row r="18" spans="1:9" ht="26.4" x14ac:dyDescent="0.3">
      <c r="A18" s="9">
        <v>14</v>
      </c>
      <c r="B18" s="10" t="s">
        <v>129</v>
      </c>
      <c r="C18" s="10" t="s">
        <v>142</v>
      </c>
      <c r="D18" s="10" t="s">
        <v>131</v>
      </c>
      <c r="E18" s="10" t="s">
        <v>28</v>
      </c>
      <c r="F18" s="10" t="s">
        <v>143</v>
      </c>
      <c r="G18" s="10" t="s">
        <v>144</v>
      </c>
      <c r="H18" s="10" t="s">
        <v>31</v>
      </c>
      <c r="I18" s="11">
        <v>1</v>
      </c>
    </row>
    <row r="19" spans="1:9" ht="26.4" x14ac:dyDescent="0.3">
      <c r="A19" s="9">
        <v>15</v>
      </c>
      <c r="B19" s="10" t="s">
        <v>129</v>
      </c>
      <c r="C19" s="10" t="s">
        <v>145</v>
      </c>
      <c r="D19" s="10" t="s">
        <v>135</v>
      </c>
      <c r="E19" s="10" t="s">
        <v>28</v>
      </c>
      <c r="F19" s="10" t="s">
        <v>146</v>
      </c>
      <c r="G19" s="10" t="s">
        <v>147</v>
      </c>
      <c r="H19" s="10" t="s">
        <v>78</v>
      </c>
      <c r="I19" s="11">
        <v>0.2</v>
      </c>
    </row>
    <row r="20" spans="1:9" ht="26.4" x14ac:dyDescent="0.3">
      <c r="A20" s="9">
        <v>16</v>
      </c>
      <c r="B20" s="10" t="s">
        <v>129</v>
      </c>
      <c r="C20" s="10" t="s">
        <v>148</v>
      </c>
      <c r="D20" s="10" t="s">
        <v>139</v>
      </c>
      <c r="E20" s="10" t="s">
        <v>28</v>
      </c>
      <c r="F20" s="10" t="s">
        <v>149</v>
      </c>
      <c r="G20" s="10" t="s">
        <v>150</v>
      </c>
      <c r="H20" s="10" t="s">
        <v>78</v>
      </c>
      <c r="I20" s="11">
        <v>0.85</v>
      </c>
    </row>
    <row r="21" spans="1:9" ht="26.4" x14ac:dyDescent="0.3">
      <c r="A21" s="9">
        <v>17</v>
      </c>
      <c r="B21" s="10" t="s">
        <v>129</v>
      </c>
      <c r="C21" s="10" t="s">
        <v>151</v>
      </c>
      <c r="D21" s="10" t="s">
        <v>131</v>
      </c>
      <c r="E21" s="10" t="s">
        <v>28</v>
      </c>
      <c r="F21" s="10" t="s">
        <v>152</v>
      </c>
      <c r="G21" s="10" t="s">
        <v>153</v>
      </c>
      <c r="H21" s="10" t="s">
        <v>31</v>
      </c>
      <c r="I21" s="11">
        <v>1</v>
      </c>
    </row>
    <row r="22" spans="1:9" ht="26.4" x14ac:dyDescent="0.3">
      <c r="A22" s="9">
        <v>18</v>
      </c>
      <c r="B22" s="10" t="s">
        <v>129</v>
      </c>
      <c r="C22" s="10" t="s">
        <v>154</v>
      </c>
      <c r="D22" s="10" t="s">
        <v>135</v>
      </c>
      <c r="E22" s="10" t="s">
        <v>28</v>
      </c>
      <c r="F22" s="10" t="s">
        <v>155</v>
      </c>
      <c r="G22" s="10" t="s">
        <v>156</v>
      </c>
      <c r="H22" s="10" t="s">
        <v>78</v>
      </c>
      <c r="I22" s="11">
        <v>0.2</v>
      </c>
    </row>
    <row r="23" spans="1:9" ht="26.4" x14ac:dyDescent="0.3">
      <c r="A23" s="9">
        <v>19</v>
      </c>
      <c r="B23" s="10" t="s">
        <v>129</v>
      </c>
      <c r="C23" s="10" t="s">
        <v>157</v>
      </c>
      <c r="D23" s="10" t="s">
        <v>139</v>
      </c>
      <c r="E23" s="10" t="s">
        <v>28</v>
      </c>
      <c r="F23" s="10" t="s">
        <v>158</v>
      </c>
      <c r="G23" s="10" t="s">
        <v>159</v>
      </c>
      <c r="H23" s="10" t="s">
        <v>78</v>
      </c>
      <c r="I23" s="11">
        <v>0.85</v>
      </c>
    </row>
    <row r="24" spans="1:9" ht="26.4" x14ac:dyDescent="0.3">
      <c r="A24" s="9">
        <v>20</v>
      </c>
      <c r="B24" s="10" t="s">
        <v>129</v>
      </c>
      <c r="C24" s="10" t="s">
        <v>160</v>
      </c>
      <c r="D24" s="10" t="s">
        <v>135</v>
      </c>
      <c r="E24" s="10" t="s">
        <v>28</v>
      </c>
      <c r="F24" s="10" t="s">
        <v>161</v>
      </c>
      <c r="G24" s="10" t="s">
        <v>162</v>
      </c>
      <c r="H24" s="10" t="s">
        <v>31</v>
      </c>
      <c r="I24" s="11">
        <v>1</v>
      </c>
    </row>
    <row r="25" spans="1:9" ht="26.4" x14ac:dyDescent="0.3">
      <c r="A25" s="9">
        <v>21</v>
      </c>
      <c r="B25" s="10" t="s">
        <v>129</v>
      </c>
      <c r="C25" s="10" t="s">
        <v>163</v>
      </c>
      <c r="D25" s="10" t="s">
        <v>139</v>
      </c>
      <c r="E25" s="10" t="s">
        <v>28</v>
      </c>
      <c r="F25" s="10" t="s">
        <v>164</v>
      </c>
      <c r="G25" s="10" t="s">
        <v>165</v>
      </c>
      <c r="H25" s="10" t="s">
        <v>31</v>
      </c>
      <c r="I25" s="11">
        <v>1</v>
      </c>
    </row>
    <row r="26" spans="1:9" ht="26.4" x14ac:dyDescent="0.3">
      <c r="A26" s="9">
        <v>22</v>
      </c>
      <c r="B26" s="10" t="s">
        <v>129</v>
      </c>
      <c r="C26" s="10" t="s">
        <v>166</v>
      </c>
      <c r="D26" s="10" t="s">
        <v>131</v>
      </c>
      <c r="E26" s="10" t="s">
        <v>28</v>
      </c>
      <c r="F26" s="10" t="s">
        <v>167</v>
      </c>
      <c r="G26" s="10" t="s">
        <v>168</v>
      </c>
      <c r="H26" s="10" t="s">
        <v>31</v>
      </c>
      <c r="I26" s="11">
        <v>1</v>
      </c>
    </row>
    <row r="27" spans="1:9" ht="26.4" x14ac:dyDescent="0.3">
      <c r="A27" s="9">
        <v>23</v>
      </c>
      <c r="B27" s="10" t="s">
        <v>129</v>
      </c>
      <c r="C27" s="10" t="s">
        <v>169</v>
      </c>
      <c r="D27" s="10" t="s">
        <v>139</v>
      </c>
      <c r="E27" s="10" t="s">
        <v>28</v>
      </c>
      <c r="F27" s="10" t="s">
        <v>170</v>
      </c>
      <c r="G27" s="10" t="s">
        <v>171</v>
      </c>
      <c r="H27" s="10" t="s">
        <v>31</v>
      </c>
      <c r="I27" s="11">
        <v>1</v>
      </c>
    </row>
    <row r="28" spans="1:9" ht="26.4" x14ac:dyDescent="0.3">
      <c r="A28" s="9">
        <v>24</v>
      </c>
      <c r="B28" s="10" t="s">
        <v>129</v>
      </c>
      <c r="C28" s="10" t="s">
        <v>172</v>
      </c>
      <c r="D28" s="10" t="s">
        <v>139</v>
      </c>
      <c r="E28" s="10" t="s">
        <v>28</v>
      </c>
      <c r="F28" s="10" t="s">
        <v>173</v>
      </c>
      <c r="G28" s="10" t="s">
        <v>174</v>
      </c>
      <c r="H28" s="10" t="s">
        <v>31</v>
      </c>
      <c r="I28" s="11">
        <v>1</v>
      </c>
    </row>
    <row r="29" spans="1:9" ht="26.4" x14ac:dyDescent="0.3">
      <c r="A29" s="9">
        <v>25</v>
      </c>
      <c r="B29" s="10" t="s">
        <v>60</v>
      </c>
      <c r="C29" s="10" t="s">
        <v>175</v>
      </c>
      <c r="D29" s="10" t="s">
        <v>176</v>
      </c>
      <c r="E29" s="10" t="s">
        <v>28</v>
      </c>
      <c r="F29" s="10" t="s">
        <v>177</v>
      </c>
      <c r="G29" s="10" t="s">
        <v>178</v>
      </c>
      <c r="H29" s="10" t="s">
        <v>78</v>
      </c>
      <c r="I29" s="11">
        <v>0.85</v>
      </c>
    </row>
    <row r="30" spans="1:9" ht="26.4" x14ac:dyDescent="0.3">
      <c r="A30" s="9">
        <v>26</v>
      </c>
      <c r="B30" s="10" t="s">
        <v>60</v>
      </c>
      <c r="C30" s="10" t="s">
        <v>179</v>
      </c>
      <c r="D30" s="10" t="s">
        <v>176</v>
      </c>
      <c r="E30" s="10" t="s">
        <v>28</v>
      </c>
      <c r="F30" s="10" t="s">
        <v>180</v>
      </c>
      <c r="G30" s="10" t="s">
        <v>181</v>
      </c>
      <c r="H30" s="10" t="s">
        <v>31</v>
      </c>
      <c r="I30" s="11">
        <v>1</v>
      </c>
    </row>
    <row r="31" spans="1:9" ht="26.4" x14ac:dyDescent="0.3">
      <c r="A31" s="9">
        <v>27</v>
      </c>
      <c r="B31" s="10" t="s">
        <v>60</v>
      </c>
      <c r="C31" s="10" t="s">
        <v>182</v>
      </c>
      <c r="D31" s="10" t="s">
        <v>176</v>
      </c>
      <c r="E31" s="10" t="s">
        <v>28</v>
      </c>
      <c r="F31" s="10" t="s">
        <v>183</v>
      </c>
      <c r="G31" s="10" t="s">
        <v>184</v>
      </c>
      <c r="H31" s="10" t="s">
        <v>31</v>
      </c>
      <c r="I31" s="11">
        <v>1</v>
      </c>
    </row>
    <row r="32" spans="1:9" ht="26.4" x14ac:dyDescent="0.3">
      <c r="A32" s="9">
        <v>28</v>
      </c>
      <c r="B32" s="10" t="s">
        <v>60</v>
      </c>
      <c r="C32" s="10" t="s">
        <v>185</v>
      </c>
      <c r="D32" s="10" t="s">
        <v>176</v>
      </c>
      <c r="E32" s="10" t="s">
        <v>28</v>
      </c>
      <c r="F32" s="10" t="s">
        <v>186</v>
      </c>
      <c r="G32" s="10" t="s">
        <v>187</v>
      </c>
      <c r="H32" s="10" t="s">
        <v>31</v>
      </c>
      <c r="I32" s="11">
        <v>1</v>
      </c>
    </row>
  </sheetData>
  <autoFilter ref="A4:I32" xr:uid="{00000000-0009-0000-0000-000002000000}"/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L137"/>
  <sheetViews>
    <sheetView showGridLines="0" rightToLeft="1" tabSelected="1" zoomScaleNormal="100" workbookViewId="0">
      <pane xSplit="1" ySplit="4" topLeftCell="B131" activePane="bottomRight" state="frozen"/>
      <selection pane="topRight" activeCell="B1" sqref="B1"/>
      <selection pane="bottomLeft" activeCell="A5" sqref="A5"/>
      <selection pane="bottomRight" activeCell="E5" sqref="C5:E13"/>
    </sheetView>
  </sheetViews>
  <sheetFormatPr defaultColWidth="8.6640625" defaultRowHeight="14.4" x14ac:dyDescent="0.3"/>
  <cols>
    <col min="1" max="1" width="5" customWidth="1"/>
    <col min="2" max="2" width="22" customWidth="1"/>
    <col min="3" max="3" width="36" customWidth="1"/>
    <col min="4" max="4" width="20" customWidth="1"/>
    <col min="5" max="5" width="55" customWidth="1"/>
    <col min="6" max="6" width="30" customWidth="1"/>
    <col min="7" max="7" width="9" customWidth="1"/>
    <col min="8" max="8" width="10" customWidth="1"/>
    <col min="9" max="10" width="13" customWidth="1"/>
    <col min="11" max="12" width="11" customWidth="1"/>
  </cols>
  <sheetData>
    <row r="1" spans="1:12" ht="16.8" x14ac:dyDescent="0.3">
      <c r="A1" s="7" t="s">
        <v>188</v>
      </c>
    </row>
    <row r="2" spans="1:12" x14ac:dyDescent="0.3">
      <c r="A2" s="2"/>
    </row>
    <row r="4" spans="1:12" ht="36" customHeight="1" x14ac:dyDescent="0.3">
      <c r="A4" s="8" t="s">
        <v>15</v>
      </c>
      <c r="B4" s="8" t="s">
        <v>16</v>
      </c>
      <c r="C4" s="8" t="s">
        <v>17</v>
      </c>
      <c r="D4" s="8" t="s">
        <v>189</v>
      </c>
      <c r="E4" s="8" t="s">
        <v>190</v>
      </c>
      <c r="F4" s="8" t="s">
        <v>191</v>
      </c>
      <c r="G4" s="8" t="s">
        <v>192</v>
      </c>
      <c r="H4" s="8" t="s">
        <v>23</v>
      </c>
      <c r="I4" s="8" t="s">
        <v>193</v>
      </c>
      <c r="J4" s="8" t="s">
        <v>194</v>
      </c>
      <c r="K4" s="8" t="s">
        <v>195</v>
      </c>
      <c r="L4" s="8" t="s">
        <v>196</v>
      </c>
    </row>
    <row r="5" spans="1:12" ht="26.4" x14ac:dyDescent="0.3">
      <c r="A5" s="9">
        <v>1</v>
      </c>
      <c r="B5" s="10" t="s">
        <v>107</v>
      </c>
      <c r="C5" s="10" t="s">
        <v>197</v>
      </c>
      <c r="D5" s="10" t="s">
        <v>198</v>
      </c>
      <c r="E5" s="10" t="s">
        <v>199</v>
      </c>
      <c r="F5" s="10" t="s">
        <v>200</v>
      </c>
      <c r="G5" s="10" t="s">
        <v>28</v>
      </c>
      <c r="H5" s="11">
        <v>0</v>
      </c>
      <c r="I5" s="12">
        <v>45809.708333333299</v>
      </c>
      <c r="J5" s="12">
        <v>46330.708333333299</v>
      </c>
      <c r="K5" s="10">
        <v>-295</v>
      </c>
      <c r="L5" s="13">
        <f t="shared" ref="L5:L36" si="0">J5-I5</f>
        <v>521</v>
      </c>
    </row>
    <row r="6" spans="1:12" ht="26.4" x14ac:dyDescent="0.3">
      <c r="A6" s="9">
        <v>2</v>
      </c>
      <c r="B6" s="10" t="s">
        <v>107</v>
      </c>
      <c r="C6" s="10" t="s">
        <v>197</v>
      </c>
      <c r="D6" s="10" t="s">
        <v>201</v>
      </c>
      <c r="E6" s="10" t="s">
        <v>202</v>
      </c>
      <c r="F6" s="10" t="s">
        <v>203</v>
      </c>
      <c r="G6" s="10" t="s">
        <v>28</v>
      </c>
      <c r="H6" s="11">
        <v>0</v>
      </c>
      <c r="I6" s="12">
        <v>46041.708333333299</v>
      </c>
      <c r="J6" s="12">
        <v>46553.708333333299</v>
      </c>
      <c r="K6" s="10">
        <v>-297</v>
      </c>
      <c r="L6" s="13">
        <f t="shared" si="0"/>
        <v>512</v>
      </c>
    </row>
    <row r="7" spans="1:12" ht="26.4" x14ac:dyDescent="0.3">
      <c r="A7" s="9">
        <v>3</v>
      </c>
      <c r="B7" s="10" t="s">
        <v>107</v>
      </c>
      <c r="C7" s="10" t="s">
        <v>197</v>
      </c>
      <c r="D7" s="10" t="s">
        <v>204</v>
      </c>
      <c r="E7" s="10" t="s">
        <v>202</v>
      </c>
      <c r="F7" s="10" t="s">
        <v>203</v>
      </c>
      <c r="G7" s="10" t="s">
        <v>28</v>
      </c>
      <c r="H7" s="11">
        <v>0</v>
      </c>
      <c r="I7" s="12">
        <v>46071.708333333299</v>
      </c>
      <c r="J7" s="12">
        <v>46583.708333333299</v>
      </c>
      <c r="K7" s="10">
        <v>-297</v>
      </c>
      <c r="L7" s="13">
        <f t="shared" si="0"/>
        <v>512</v>
      </c>
    </row>
    <row r="8" spans="1:12" ht="26.4" x14ac:dyDescent="0.3">
      <c r="A8" s="9">
        <v>4</v>
      </c>
      <c r="B8" s="10" t="s">
        <v>107</v>
      </c>
      <c r="C8" s="10" t="s">
        <v>197</v>
      </c>
      <c r="D8" s="10" t="s">
        <v>205</v>
      </c>
      <c r="E8" s="10" t="s">
        <v>202</v>
      </c>
      <c r="F8" s="10" t="s">
        <v>203</v>
      </c>
      <c r="G8" s="10" t="s">
        <v>28</v>
      </c>
      <c r="H8" s="11">
        <v>0</v>
      </c>
      <c r="I8" s="12">
        <v>45980.708333333299</v>
      </c>
      <c r="J8" s="12">
        <v>46487.708333333299</v>
      </c>
      <c r="K8" s="10">
        <v>-292</v>
      </c>
      <c r="L8" s="13">
        <f t="shared" si="0"/>
        <v>507</v>
      </c>
    </row>
    <row r="9" spans="1:12" ht="26.4" x14ac:dyDescent="0.3">
      <c r="A9" s="9">
        <v>5</v>
      </c>
      <c r="B9" s="10" t="s">
        <v>107</v>
      </c>
      <c r="C9" s="10" t="s">
        <v>197</v>
      </c>
      <c r="D9" s="10" t="s">
        <v>206</v>
      </c>
      <c r="E9" s="10" t="s">
        <v>202</v>
      </c>
      <c r="F9" s="10" t="s">
        <v>203</v>
      </c>
      <c r="G9" s="10" t="s">
        <v>28</v>
      </c>
      <c r="H9" s="11">
        <v>0</v>
      </c>
      <c r="I9" s="12">
        <v>46011.708333333299</v>
      </c>
      <c r="J9" s="12">
        <v>46517.708333333299</v>
      </c>
      <c r="K9" s="10">
        <v>-292</v>
      </c>
      <c r="L9" s="13">
        <f t="shared" si="0"/>
        <v>506</v>
      </c>
    </row>
    <row r="10" spans="1:12" ht="26.4" x14ac:dyDescent="0.3">
      <c r="A10" s="9">
        <v>6</v>
      </c>
      <c r="B10" s="10" t="s">
        <v>107</v>
      </c>
      <c r="C10" s="10" t="s">
        <v>197</v>
      </c>
      <c r="D10" s="10" t="s">
        <v>207</v>
      </c>
      <c r="E10" s="10" t="s">
        <v>202</v>
      </c>
      <c r="F10" s="10" t="s">
        <v>203</v>
      </c>
      <c r="G10" s="10" t="s">
        <v>28</v>
      </c>
      <c r="H10" s="11">
        <v>0</v>
      </c>
      <c r="I10" s="12">
        <v>45918.708333333299</v>
      </c>
      <c r="J10" s="12">
        <v>46421.708333333299</v>
      </c>
      <c r="K10" s="10">
        <v>-291</v>
      </c>
      <c r="L10" s="13">
        <f t="shared" si="0"/>
        <v>503</v>
      </c>
    </row>
    <row r="11" spans="1:12" ht="26.4" x14ac:dyDescent="0.3">
      <c r="A11" s="9">
        <v>7</v>
      </c>
      <c r="B11" s="10" t="s">
        <v>107</v>
      </c>
      <c r="C11" s="10" t="s">
        <v>197</v>
      </c>
      <c r="D11" s="10" t="s">
        <v>208</v>
      </c>
      <c r="E11" s="10" t="s">
        <v>202</v>
      </c>
      <c r="F11" s="10" t="s">
        <v>203</v>
      </c>
      <c r="G11" s="10" t="s">
        <v>28</v>
      </c>
      <c r="H11" s="11">
        <v>0</v>
      </c>
      <c r="I11" s="12">
        <v>45950.708333333299</v>
      </c>
      <c r="J11" s="12">
        <v>46453.708333333299</v>
      </c>
      <c r="K11" s="10">
        <v>-293</v>
      </c>
      <c r="L11" s="13">
        <f t="shared" si="0"/>
        <v>503</v>
      </c>
    </row>
    <row r="12" spans="1:12" ht="26.4" x14ac:dyDescent="0.3">
      <c r="A12" s="9">
        <v>8</v>
      </c>
      <c r="B12" s="10" t="s">
        <v>107</v>
      </c>
      <c r="C12" s="10" t="s">
        <v>197</v>
      </c>
      <c r="D12" s="10" t="s">
        <v>209</v>
      </c>
      <c r="E12" s="10" t="s">
        <v>202</v>
      </c>
      <c r="F12" s="10" t="s">
        <v>203</v>
      </c>
      <c r="G12" s="10" t="s">
        <v>28</v>
      </c>
      <c r="H12" s="11">
        <v>0</v>
      </c>
      <c r="I12" s="12">
        <v>45888.708333333299</v>
      </c>
      <c r="J12" s="12">
        <v>46391.708333333299</v>
      </c>
      <c r="K12" s="10">
        <v>-295</v>
      </c>
      <c r="L12" s="13">
        <f t="shared" si="0"/>
        <v>503</v>
      </c>
    </row>
    <row r="13" spans="1:12" ht="26.4" x14ac:dyDescent="0.3">
      <c r="A13" s="9">
        <v>9</v>
      </c>
      <c r="B13" s="10" t="s">
        <v>107</v>
      </c>
      <c r="C13" s="10" t="s">
        <v>197</v>
      </c>
      <c r="D13" s="10" t="s">
        <v>210</v>
      </c>
      <c r="E13" s="10" t="s">
        <v>202</v>
      </c>
      <c r="F13" s="10" t="s">
        <v>203</v>
      </c>
      <c r="G13" s="10" t="s">
        <v>28</v>
      </c>
      <c r="H13" s="11">
        <v>0</v>
      </c>
      <c r="I13" s="12">
        <v>45858.708333333299</v>
      </c>
      <c r="J13" s="12">
        <v>46361.708333333299</v>
      </c>
      <c r="K13" s="10">
        <v>-296</v>
      </c>
      <c r="L13" s="13">
        <f t="shared" si="0"/>
        <v>503</v>
      </c>
    </row>
    <row r="14" spans="1:12" ht="26.4" x14ac:dyDescent="0.3">
      <c r="A14" s="9">
        <v>10</v>
      </c>
      <c r="B14" s="10" t="s">
        <v>60</v>
      </c>
      <c r="C14" s="10" t="s">
        <v>61</v>
      </c>
      <c r="D14" s="10" t="s">
        <v>211</v>
      </c>
      <c r="E14" s="10" t="s">
        <v>65</v>
      </c>
      <c r="F14" s="10" t="s">
        <v>203</v>
      </c>
      <c r="G14" s="10" t="s">
        <v>28</v>
      </c>
      <c r="H14" s="11">
        <v>0</v>
      </c>
      <c r="I14" s="12">
        <v>45971.708333333299</v>
      </c>
      <c r="J14" s="12">
        <v>46463.708333333299</v>
      </c>
      <c r="K14" s="10">
        <v>-254</v>
      </c>
      <c r="L14" s="13">
        <f t="shared" si="0"/>
        <v>492</v>
      </c>
    </row>
    <row r="15" spans="1:12" x14ac:dyDescent="0.3">
      <c r="A15" s="9">
        <v>11</v>
      </c>
      <c r="B15" s="10" t="s">
        <v>60</v>
      </c>
      <c r="C15" s="10" t="s">
        <v>61</v>
      </c>
      <c r="D15" s="10" t="s">
        <v>62</v>
      </c>
      <c r="E15" s="10" t="s">
        <v>63</v>
      </c>
      <c r="F15" s="10" t="s">
        <v>200</v>
      </c>
      <c r="G15" s="10" t="s">
        <v>28</v>
      </c>
      <c r="H15" s="11">
        <v>0</v>
      </c>
      <c r="I15" s="12">
        <v>45818.708333333299</v>
      </c>
      <c r="J15" s="12">
        <v>46307.708333333299</v>
      </c>
      <c r="K15" s="10">
        <v>-258</v>
      </c>
      <c r="L15" s="13">
        <f t="shared" si="0"/>
        <v>489</v>
      </c>
    </row>
    <row r="16" spans="1:12" ht="26.4" x14ac:dyDescent="0.3">
      <c r="A16" s="9">
        <v>12</v>
      </c>
      <c r="B16" s="10" t="s">
        <v>60</v>
      </c>
      <c r="C16" s="10" t="s">
        <v>61</v>
      </c>
      <c r="D16" s="10" t="s">
        <v>212</v>
      </c>
      <c r="E16" s="10" t="s">
        <v>65</v>
      </c>
      <c r="F16" s="10" t="s">
        <v>203</v>
      </c>
      <c r="G16" s="10" t="s">
        <v>28</v>
      </c>
      <c r="H16" s="11">
        <v>0</v>
      </c>
      <c r="I16" s="12">
        <v>45848.708333333299</v>
      </c>
      <c r="J16" s="12">
        <v>46337.708333333299</v>
      </c>
      <c r="K16" s="10">
        <v>-258</v>
      </c>
      <c r="L16" s="13">
        <f t="shared" si="0"/>
        <v>489</v>
      </c>
    </row>
    <row r="17" spans="1:12" ht="26.4" x14ac:dyDescent="0.3">
      <c r="A17" s="9">
        <v>13</v>
      </c>
      <c r="B17" s="10" t="s">
        <v>60</v>
      </c>
      <c r="C17" s="10" t="s">
        <v>61</v>
      </c>
      <c r="D17" s="10" t="s">
        <v>213</v>
      </c>
      <c r="E17" s="10" t="s">
        <v>65</v>
      </c>
      <c r="F17" s="10" t="s">
        <v>203</v>
      </c>
      <c r="G17" s="10" t="s">
        <v>28</v>
      </c>
      <c r="H17" s="11">
        <v>0</v>
      </c>
      <c r="I17" s="12">
        <v>45909.708333333299</v>
      </c>
      <c r="J17" s="12">
        <v>46398.708333333299</v>
      </c>
      <c r="K17" s="10">
        <v>-254</v>
      </c>
      <c r="L17" s="13">
        <f t="shared" si="0"/>
        <v>489</v>
      </c>
    </row>
    <row r="18" spans="1:12" ht="26.4" x14ac:dyDescent="0.3">
      <c r="A18" s="9">
        <v>14</v>
      </c>
      <c r="B18" s="10" t="s">
        <v>60</v>
      </c>
      <c r="C18" s="10" t="s">
        <v>61</v>
      </c>
      <c r="D18" s="10" t="s">
        <v>214</v>
      </c>
      <c r="E18" s="10" t="s">
        <v>65</v>
      </c>
      <c r="F18" s="10" t="s">
        <v>203</v>
      </c>
      <c r="G18" s="10" t="s">
        <v>28</v>
      </c>
      <c r="H18" s="11">
        <v>0</v>
      </c>
      <c r="I18" s="12">
        <v>45879.708333333299</v>
      </c>
      <c r="J18" s="12">
        <v>46368.708333333299</v>
      </c>
      <c r="K18" s="10">
        <v>-255</v>
      </c>
      <c r="L18" s="13">
        <f t="shared" si="0"/>
        <v>489</v>
      </c>
    </row>
    <row r="19" spans="1:12" ht="26.4" x14ac:dyDescent="0.3">
      <c r="A19" s="9">
        <v>15</v>
      </c>
      <c r="B19" s="10" t="s">
        <v>60</v>
      </c>
      <c r="C19" s="10" t="s">
        <v>61</v>
      </c>
      <c r="D19" s="10" t="s">
        <v>215</v>
      </c>
      <c r="E19" s="10" t="s">
        <v>65</v>
      </c>
      <c r="F19" s="10" t="s">
        <v>203</v>
      </c>
      <c r="G19" s="10" t="s">
        <v>28</v>
      </c>
      <c r="H19" s="11">
        <v>0</v>
      </c>
      <c r="I19" s="12">
        <v>45941.708333333299</v>
      </c>
      <c r="J19" s="12">
        <v>46428.708333333299</v>
      </c>
      <c r="K19" s="10">
        <v>-249</v>
      </c>
      <c r="L19" s="13">
        <f t="shared" si="0"/>
        <v>487</v>
      </c>
    </row>
    <row r="20" spans="1:12" ht="26.4" x14ac:dyDescent="0.3">
      <c r="A20" s="9">
        <v>16</v>
      </c>
      <c r="B20" s="10" t="s">
        <v>60</v>
      </c>
      <c r="C20" s="10" t="s">
        <v>216</v>
      </c>
      <c r="D20" s="10" t="s">
        <v>217</v>
      </c>
      <c r="E20" s="10" t="s">
        <v>176</v>
      </c>
      <c r="F20" s="10" t="s">
        <v>203</v>
      </c>
      <c r="G20" s="10" t="s">
        <v>28</v>
      </c>
      <c r="H20" s="11">
        <v>0</v>
      </c>
      <c r="I20" s="12">
        <v>45853.708333333299</v>
      </c>
      <c r="J20" s="12">
        <v>46330.708333333299</v>
      </c>
      <c r="K20" s="10">
        <v>-291</v>
      </c>
      <c r="L20" s="13">
        <f t="shared" si="0"/>
        <v>477</v>
      </c>
    </row>
    <row r="21" spans="1:12" ht="26.4" x14ac:dyDescent="0.3">
      <c r="A21" s="9">
        <v>17</v>
      </c>
      <c r="B21" s="10" t="s">
        <v>60</v>
      </c>
      <c r="C21" s="10" t="s">
        <v>61</v>
      </c>
      <c r="D21" s="10" t="s">
        <v>218</v>
      </c>
      <c r="E21" s="10" t="s">
        <v>65</v>
      </c>
      <c r="F21" s="10" t="s">
        <v>203</v>
      </c>
      <c r="G21" s="10" t="s">
        <v>28</v>
      </c>
      <c r="H21" s="11">
        <v>0</v>
      </c>
      <c r="I21" s="12">
        <v>46062.708333333299</v>
      </c>
      <c r="J21" s="12">
        <v>46530.708333333299</v>
      </c>
      <c r="K21" s="10">
        <v>-260</v>
      </c>
      <c r="L21" s="13">
        <f t="shared" si="0"/>
        <v>468</v>
      </c>
    </row>
    <row r="22" spans="1:12" ht="26.4" x14ac:dyDescent="0.3">
      <c r="A22" s="9">
        <v>18</v>
      </c>
      <c r="B22" s="10" t="s">
        <v>60</v>
      </c>
      <c r="C22" s="10" t="s">
        <v>61</v>
      </c>
      <c r="D22" s="10" t="s">
        <v>219</v>
      </c>
      <c r="E22" s="10" t="s">
        <v>65</v>
      </c>
      <c r="F22" s="10" t="s">
        <v>203</v>
      </c>
      <c r="G22" s="10" t="s">
        <v>28</v>
      </c>
      <c r="H22" s="11">
        <v>0</v>
      </c>
      <c r="I22" s="12">
        <v>46032.708333333299</v>
      </c>
      <c r="J22" s="12">
        <v>46494.708333333299</v>
      </c>
      <c r="K22" s="10">
        <v>-255</v>
      </c>
      <c r="L22" s="13">
        <f t="shared" si="0"/>
        <v>462</v>
      </c>
    </row>
    <row r="23" spans="1:12" ht="26.4" x14ac:dyDescent="0.3">
      <c r="A23" s="9">
        <v>19</v>
      </c>
      <c r="B23" s="10" t="s">
        <v>60</v>
      </c>
      <c r="C23" s="10" t="s">
        <v>216</v>
      </c>
      <c r="D23" s="10" t="s">
        <v>185</v>
      </c>
      <c r="E23" s="10" t="s">
        <v>176</v>
      </c>
      <c r="F23" s="10" t="s">
        <v>203</v>
      </c>
      <c r="G23" s="10" t="s">
        <v>28</v>
      </c>
      <c r="H23" s="11">
        <v>0</v>
      </c>
      <c r="I23" s="12">
        <v>45883.708333333299</v>
      </c>
      <c r="J23" s="12">
        <v>46330.708333333299</v>
      </c>
      <c r="K23" s="10">
        <v>-291</v>
      </c>
      <c r="L23" s="13">
        <f t="shared" si="0"/>
        <v>447</v>
      </c>
    </row>
    <row r="24" spans="1:12" x14ac:dyDescent="0.3">
      <c r="A24" s="9">
        <v>20</v>
      </c>
      <c r="B24" s="10" t="s">
        <v>24</v>
      </c>
      <c r="C24" s="10" t="s">
        <v>25</v>
      </c>
      <c r="D24" s="10" t="s">
        <v>26</v>
      </c>
      <c r="E24" s="10" t="s">
        <v>27</v>
      </c>
      <c r="F24" s="10" t="s">
        <v>200</v>
      </c>
      <c r="G24" s="10" t="s">
        <v>28</v>
      </c>
      <c r="H24" s="11">
        <v>0</v>
      </c>
      <c r="I24" s="12">
        <v>45861.708333333299</v>
      </c>
      <c r="J24" s="12">
        <v>46307.708333333299</v>
      </c>
      <c r="K24" s="10">
        <v>-265</v>
      </c>
      <c r="L24" s="13">
        <f t="shared" si="0"/>
        <v>446</v>
      </c>
    </row>
    <row r="25" spans="1:12" x14ac:dyDescent="0.3">
      <c r="A25" s="9">
        <v>21</v>
      </c>
      <c r="B25" s="10" t="s">
        <v>35</v>
      </c>
      <c r="C25" s="10" t="s">
        <v>48</v>
      </c>
      <c r="D25" s="10" t="s">
        <v>49</v>
      </c>
      <c r="E25" s="10" t="s">
        <v>50</v>
      </c>
      <c r="F25" s="10" t="s">
        <v>200</v>
      </c>
      <c r="G25" s="10" t="s">
        <v>28</v>
      </c>
      <c r="H25" s="11">
        <v>0</v>
      </c>
      <c r="I25" s="12">
        <v>45864.708333333299</v>
      </c>
      <c r="J25" s="12">
        <v>46307.708333333299</v>
      </c>
      <c r="K25" s="10">
        <v>-256</v>
      </c>
      <c r="L25" s="13">
        <f t="shared" si="0"/>
        <v>443</v>
      </c>
    </row>
    <row r="26" spans="1:12" x14ac:dyDescent="0.3">
      <c r="A26" s="9">
        <v>22</v>
      </c>
      <c r="B26" s="10" t="s">
        <v>35</v>
      </c>
      <c r="C26" s="10" t="s">
        <v>36</v>
      </c>
      <c r="D26" s="10" t="s">
        <v>37</v>
      </c>
      <c r="E26" s="10" t="s">
        <v>38</v>
      </c>
      <c r="F26" s="10" t="s">
        <v>200</v>
      </c>
      <c r="G26" s="10" t="s">
        <v>28</v>
      </c>
      <c r="H26" s="11">
        <v>0</v>
      </c>
      <c r="I26" s="12">
        <v>45864.708333333299</v>
      </c>
      <c r="J26" s="12">
        <v>46307.708333333299</v>
      </c>
      <c r="K26" s="10">
        <v>-256</v>
      </c>
      <c r="L26" s="13">
        <f t="shared" si="0"/>
        <v>443</v>
      </c>
    </row>
    <row r="27" spans="1:12" ht="26.4" x14ac:dyDescent="0.3">
      <c r="A27" s="9">
        <v>23</v>
      </c>
      <c r="B27" s="10" t="s">
        <v>79</v>
      </c>
      <c r="C27" s="10" t="s">
        <v>220</v>
      </c>
      <c r="D27" s="10" t="s">
        <v>221</v>
      </c>
      <c r="E27" s="10" t="s">
        <v>222</v>
      </c>
      <c r="F27" s="10" t="s">
        <v>200</v>
      </c>
      <c r="G27" s="10" t="s">
        <v>28</v>
      </c>
      <c r="H27" s="11">
        <v>0</v>
      </c>
      <c r="I27" s="12">
        <v>45869.708333333299</v>
      </c>
      <c r="J27" s="12">
        <v>46307.708333333299</v>
      </c>
      <c r="K27" s="10">
        <v>-329</v>
      </c>
      <c r="L27" s="13">
        <f t="shared" si="0"/>
        <v>438</v>
      </c>
    </row>
    <row r="28" spans="1:12" ht="26.4" x14ac:dyDescent="0.3">
      <c r="A28" s="9">
        <v>24</v>
      </c>
      <c r="B28" s="10" t="s">
        <v>79</v>
      </c>
      <c r="C28" s="10" t="s">
        <v>85</v>
      </c>
      <c r="D28" s="10" t="s">
        <v>86</v>
      </c>
      <c r="E28" s="10" t="s">
        <v>87</v>
      </c>
      <c r="F28" s="10" t="s">
        <v>200</v>
      </c>
      <c r="G28" s="10" t="s">
        <v>28</v>
      </c>
      <c r="H28" s="11">
        <v>0</v>
      </c>
      <c r="I28" s="12">
        <v>45869.708333333299</v>
      </c>
      <c r="J28" s="12">
        <v>46307.708333333299</v>
      </c>
      <c r="K28" s="10">
        <v>-127</v>
      </c>
      <c r="L28" s="13">
        <f t="shared" si="0"/>
        <v>438</v>
      </c>
    </row>
    <row r="29" spans="1:12" ht="26.4" x14ac:dyDescent="0.3">
      <c r="A29" s="9">
        <v>25</v>
      </c>
      <c r="B29" s="10" t="s">
        <v>79</v>
      </c>
      <c r="C29" s="10" t="s">
        <v>223</v>
      </c>
      <c r="D29" s="10" t="s">
        <v>224</v>
      </c>
      <c r="E29" s="10" t="s">
        <v>225</v>
      </c>
      <c r="F29" s="10" t="s">
        <v>200</v>
      </c>
      <c r="G29" s="10" t="s">
        <v>28</v>
      </c>
      <c r="H29" s="11">
        <v>0</v>
      </c>
      <c r="I29" s="12">
        <v>45869.708333333299</v>
      </c>
      <c r="J29" s="12">
        <v>46307.708333333299</v>
      </c>
      <c r="K29" s="10">
        <v>-149</v>
      </c>
      <c r="L29" s="13">
        <f t="shared" si="0"/>
        <v>438</v>
      </c>
    </row>
    <row r="30" spans="1:12" ht="26.4" x14ac:dyDescent="0.3">
      <c r="A30" s="9">
        <v>26</v>
      </c>
      <c r="B30" s="10" t="s">
        <v>226</v>
      </c>
      <c r="C30" s="10" t="s">
        <v>227</v>
      </c>
      <c r="D30" s="10" t="s">
        <v>228</v>
      </c>
      <c r="E30" s="10" t="s">
        <v>229</v>
      </c>
      <c r="F30" s="10" t="s">
        <v>203</v>
      </c>
      <c r="G30" s="10" t="s">
        <v>28</v>
      </c>
      <c r="H30" s="11">
        <v>0</v>
      </c>
      <c r="I30" s="12">
        <v>45907.708333333299</v>
      </c>
      <c r="J30" s="12">
        <v>46344.708333333299</v>
      </c>
      <c r="K30" s="10">
        <v>-83</v>
      </c>
      <c r="L30" s="13">
        <f t="shared" si="0"/>
        <v>437</v>
      </c>
    </row>
    <row r="31" spans="1:12" x14ac:dyDescent="0.3">
      <c r="A31" s="9">
        <v>27</v>
      </c>
      <c r="B31" s="10" t="s">
        <v>79</v>
      </c>
      <c r="C31" s="10" t="s">
        <v>80</v>
      </c>
      <c r="D31" s="10" t="s">
        <v>81</v>
      </c>
      <c r="E31" s="10" t="s">
        <v>82</v>
      </c>
      <c r="F31" s="10" t="s">
        <v>200</v>
      </c>
      <c r="G31" s="10" t="s">
        <v>28</v>
      </c>
      <c r="H31" s="11">
        <v>0</v>
      </c>
      <c r="I31" s="12">
        <v>45880.708333333299</v>
      </c>
      <c r="J31" s="12">
        <v>46317.708333333299</v>
      </c>
      <c r="K31" s="10">
        <v>-323</v>
      </c>
      <c r="L31" s="13">
        <f t="shared" si="0"/>
        <v>437</v>
      </c>
    </row>
    <row r="32" spans="1:12" ht="26.4" x14ac:dyDescent="0.3">
      <c r="A32" s="9">
        <v>28</v>
      </c>
      <c r="B32" s="10" t="s">
        <v>226</v>
      </c>
      <c r="C32" s="10" t="s">
        <v>230</v>
      </c>
      <c r="D32" s="10" t="s">
        <v>231</v>
      </c>
      <c r="E32" s="10" t="s">
        <v>232</v>
      </c>
      <c r="F32" s="10" t="s">
        <v>203</v>
      </c>
      <c r="G32" s="10" t="s">
        <v>28</v>
      </c>
      <c r="H32" s="11">
        <v>0</v>
      </c>
      <c r="I32" s="12">
        <v>45907.708333333299</v>
      </c>
      <c r="J32" s="12">
        <v>46344.708333333299</v>
      </c>
      <c r="K32" s="10">
        <v>-64</v>
      </c>
      <c r="L32" s="13">
        <f t="shared" si="0"/>
        <v>437</v>
      </c>
    </row>
    <row r="33" spans="1:12" ht="26.4" x14ac:dyDescent="0.3">
      <c r="A33" s="9">
        <v>29</v>
      </c>
      <c r="B33" s="10" t="s">
        <v>79</v>
      </c>
      <c r="C33" s="10" t="s">
        <v>85</v>
      </c>
      <c r="D33" s="10" t="s">
        <v>90</v>
      </c>
      <c r="E33" s="10" t="s">
        <v>89</v>
      </c>
      <c r="F33" s="10" t="s">
        <v>203</v>
      </c>
      <c r="G33" s="10" t="s">
        <v>78</v>
      </c>
      <c r="H33" s="11">
        <v>0.8</v>
      </c>
      <c r="I33" s="12">
        <v>45900.708333333299</v>
      </c>
      <c r="J33" s="12">
        <v>46337.708333333299</v>
      </c>
      <c r="K33" s="10">
        <v>-127</v>
      </c>
      <c r="L33" s="13">
        <f t="shared" si="0"/>
        <v>437</v>
      </c>
    </row>
    <row r="34" spans="1:12" ht="26.4" x14ac:dyDescent="0.3">
      <c r="A34" s="9">
        <v>30</v>
      </c>
      <c r="B34" s="10" t="s">
        <v>79</v>
      </c>
      <c r="C34" s="10" t="s">
        <v>223</v>
      </c>
      <c r="D34" s="10" t="s">
        <v>233</v>
      </c>
      <c r="E34" s="10" t="s">
        <v>234</v>
      </c>
      <c r="F34" s="10" t="s">
        <v>203</v>
      </c>
      <c r="G34" s="10" t="s">
        <v>28</v>
      </c>
      <c r="H34" s="11">
        <v>0</v>
      </c>
      <c r="I34" s="12">
        <v>45900.708333333299</v>
      </c>
      <c r="J34" s="12">
        <v>46337.708333333299</v>
      </c>
      <c r="K34" s="10">
        <v>-144</v>
      </c>
      <c r="L34" s="13">
        <f t="shared" si="0"/>
        <v>437</v>
      </c>
    </row>
    <row r="35" spans="1:12" ht="26.4" x14ac:dyDescent="0.3">
      <c r="A35" s="9">
        <v>31</v>
      </c>
      <c r="B35" s="10" t="s">
        <v>79</v>
      </c>
      <c r="C35" s="10" t="s">
        <v>223</v>
      </c>
      <c r="D35" s="10" t="s">
        <v>235</v>
      </c>
      <c r="E35" s="10" t="s">
        <v>234</v>
      </c>
      <c r="F35" s="10" t="s">
        <v>203</v>
      </c>
      <c r="G35" s="10" t="s">
        <v>28</v>
      </c>
      <c r="H35" s="11">
        <v>0</v>
      </c>
      <c r="I35" s="12">
        <v>45900.708333333299</v>
      </c>
      <c r="J35" s="12">
        <v>46337.708333333299</v>
      </c>
      <c r="K35" s="10">
        <v>-128</v>
      </c>
      <c r="L35" s="13">
        <f t="shared" si="0"/>
        <v>437</v>
      </c>
    </row>
    <row r="36" spans="1:12" ht="26.4" x14ac:dyDescent="0.3">
      <c r="A36" s="9">
        <v>32</v>
      </c>
      <c r="B36" s="10" t="s">
        <v>24</v>
      </c>
      <c r="C36" s="10" t="s">
        <v>25</v>
      </c>
      <c r="D36" s="10" t="s">
        <v>126</v>
      </c>
      <c r="E36" s="10" t="s">
        <v>30</v>
      </c>
      <c r="F36" s="10" t="s">
        <v>203</v>
      </c>
      <c r="G36" s="10" t="s">
        <v>28</v>
      </c>
      <c r="H36" s="11">
        <v>0</v>
      </c>
      <c r="I36" s="12">
        <v>45880.708333333299</v>
      </c>
      <c r="J36" s="12">
        <v>46308.708333333299</v>
      </c>
      <c r="K36" s="10">
        <v>-265</v>
      </c>
      <c r="L36" s="13">
        <f t="shared" si="0"/>
        <v>428</v>
      </c>
    </row>
    <row r="37" spans="1:12" x14ac:dyDescent="0.3">
      <c r="A37" s="9">
        <v>33</v>
      </c>
      <c r="B37" s="10" t="s">
        <v>79</v>
      </c>
      <c r="C37" s="10" t="s">
        <v>91</v>
      </c>
      <c r="D37" s="10" t="s">
        <v>92</v>
      </c>
      <c r="E37" s="10" t="s">
        <v>93</v>
      </c>
      <c r="F37" s="10" t="s">
        <v>200</v>
      </c>
      <c r="G37" s="10" t="s">
        <v>28</v>
      </c>
      <c r="H37" s="11">
        <v>0</v>
      </c>
      <c r="I37" s="12">
        <v>45880.708333333299</v>
      </c>
      <c r="J37" s="12">
        <v>46307.708333333299</v>
      </c>
      <c r="K37" s="10">
        <v>-322</v>
      </c>
      <c r="L37" s="13">
        <f t="shared" ref="L37:L68" si="1">J37-I37</f>
        <v>427</v>
      </c>
    </row>
    <row r="38" spans="1:12" x14ac:dyDescent="0.3">
      <c r="A38" s="9">
        <v>34</v>
      </c>
      <c r="B38" s="10" t="s">
        <v>236</v>
      </c>
      <c r="C38" s="10" t="s">
        <v>237</v>
      </c>
      <c r="D38" s="10" t="s">
        <v>238</v>
      </c>
      <c r="E38" s="10" t="s">
        <v>239</v>
      </c>
      <c r="F38" s="10" t="s">
        <v>200</v>
      </c>
      <c r="G38" s="10" t="s">
        <v>28</v>
      </c>
      <c r="H38" s="11">
        <v>0</v>
      </c>
      <c r="I38" s="12">
        <v>45887.708333333299</v>
      </c>
      <c r="J38" s="12">
        <v>46307.708333333299</v>
      </c>
      <c r="K38" s="10">
        <v>-225</v>
      </c>
      <c r="L38" s="13">
        <f t="shared" si="1"/>
        <v>420</v>
      </c>
    </row>
    <row r="39" spans="1:12" x14ac:dyDescent="0.3">
      <c r="A39" s="9">
        <v>35</v>
      </c>
      <c r="B39" s="10" t="s">
        <v>236</v>
      </c>
      <c r="C39" s="10" t="s">
        <v>240</v>
      </c>
      <c r="D39" s="10" t="s">
        <v>241</v>
      </c>
      <c r="E39" s="10" t="s">
        <v>242</v>
      </c>
      <c r="F39" s="10" t="s">
        <v>200</v>
      </c>
      <c r="G39" s="10" t="s">
        <v>28</v>
      </c>
      <c r="H39" s="11">
        <v>0</v>
      </c>
      <c r="I39" s="12">
        <v>45887.708333333299</v>
      </c>
      <c r="J39" s="12">
        <v>46307.708333333299</v>
      </c>
      <c r="K39" s="10">
        <v>-256</v>
      </c>
      <c r="L39" s="13">
        <f t="shared" si="1"/>
        <v>420</v>
      </c>
    </row>
    <row r="40" spans="1:12" ht="26.4" x14ac:dyDescent="0.3">
      <c r="A40" s="9">
        <v>36</v>
      </c>
      <c r="B40" s="10" t="s">
        <v>129</v>
      </c>
      <c r="C40" s="10" t="s">
        <v>243</v>
      </c>
      <c r="D40" s="10" t="s">
        <v>244</v>
      </c>
      <c r="E40" s="10" t="s">
        <v>131</v>
      </c>
      <c r="F40" s="10" t="s">
        <v>203</v>
      </c>
      <c r="G40" s="10" t="s">
        <v>78</v>
      </c>
      <c r="H40" s="11">
        <v>0</v>
      </c>
      <c r="I40" s="12">
        <v>45893.708333333299</v>
      </c>
      <c r="J40" s="12">
        <v>46312.708333333299</v>
      </c>
      <c r="K40" s="10">
        <v>-146</v>
      </c>
      <c r="L40" s="13">
        <f t="shared" si="1"/>
        <v>419</v>
      </c>
    </row>
    <row r="41" spans="1:12" ht="26.4" x14ac:dyDescent="0.3">
      <c r="A41" s="9">
        <v>37</v>
      </c>
      <c r="B41" s="10" t="s">
        <v>129</v>
      </c>
      <c r="C41" s="10" t="s">
        <v>245</v>
      </c>
      <c r="D41" s="10" t="s">
        <v>246</v>
      </c>
      <c r="E41" s="10" t="s">
        <v>139</v>
      </c>
      <c r="F41" s="10" t="s">
        <v>203</v>
      </c>
      <c r="G41" s="10" t="s">
        <v>78</v>
      </c>
      <c r="H41" s="11">
        <v>0</v>
      </c>
      <c r="I41" s="12">
        <v>45893.708333333299</v>
      </c>
      <c r="J41" s="12">
        <v>46312.708333333299</v>
      </c>
      <c r="K41" s="10">
        <v>-111</v>
      </c>
      <c r="L41" s="13">
        <f t="shared" si="1"/>
        <v>419</v>
      </c>
    </row>
    <row r="42" spans="1:12" ht="26.4" x14ac:dyDescent="0.3">
      <c r="A42" s="9">
        <v>38</v>
      </c>
      <c r="B42" s="10" t="s">
        <v>129</v>
      </c>
      <c r="C42" s="10" t="s">
        <v>247</v>
      </c>
      <c r="D42" s="10" t="s">
        <v>248</v>
      </c>
      <c r="E42" s="10" t="s">
        <v>135</v>
      </c>
      <c r="F42" s="10" t="s">
        <v>203</v>
      </c>
      <c r="G42" s="10" t="s">
        <v>78</v>
      </c>
      <c r="H42" s="11">
        <v>0</v>
      </c>
      <c r="I42" s="12">
        <v>45893.708333333299</v>
      </c>
      <c r="J42" s="12">
        <v>46312.708333333299</v>
      </c>
      <c r="K42" s="10">
        <v>-125</v>
      </c>
      <c r="L42" s="13">
        <f t="shared" si="1"/>
        <v>419</v>
      </c>
    </row>
    <row r="43" spans="1:12" ht="26.4" x14ac:dyDescent="0.3">
      <c r="A43" s="9">
        <v>39</v>
      </c>
      <c r="B43" s="10" t="s">
        <v>66</v>
      </c>
      <c r="C43" s="10" t="s">
        <v>67</v>
      </c>
      <c r="D43" s="10" t="s">
        <v>68</v>
      </c>
      <c r="E43" s="10" t="s">
        <v>69</v>
      </c>
      <c r="F43" s="10" t="s">
        <v>200</v>
      </c>
      <c r="G43" s="10" t="s">
        <v>28</v>
      </c>
      <c r="H43" s="11">
        <v>0</v>
      </c>
      <c r="I43" s="12">
        <v>45929.708333333299</v>
      </c>
      <c r="J43" s="12">
        <v>46347.708333333299</v>
      </c>
      <c r="K43" s="10">
        <v>-227</v>
      </c>
      <c r="L43" s="13">
        <f t="shared" si="1"/>
        <v>418</v>
      </c>
    </row>
    <row r="44" spans="1:12" ht="26.4" x14ac:dyDescent="0.3">
      <c r="A44" s="9">
        <v>40</v>
      </c>
      <c r="B44" s="10" t="s">
        <v>24</v>
      </c>
      <c r="C44" s="10" t="s">
        <v>25</v>
      </c>
      <c r="D44" s="10" t="s">
        <v>123</v>
      </c>
      <c r="E44" s="10" t="s">
        <v>30</v>
      </c>
      <c r="F44" s="10" t="s">
        <v>203</v>
      </c>
      <c r="G44" s="10" t="s">
        <v>28</v>
      </c>
      <c r="H44" s="11">
        <v>0</v>
      </c>
      <c r="I44" s="12">
        <v>45899.708333333299</v>
      </c>
      <c r="J44" s="12">
        <v>46316.708333333299</v>
      </c>
      <c r="K44" s="10">
        <v>-265</v>
      </c>
      <c r="L44" s="13">
        <f t="shared" si="1"/>
        <v>417</v>
      </c>
    </row>
    <row r="45" spans="1:12" ht="26.4" x14ac:dyDescent="0.3">
      <c r="A45" s="9">
        <v>41</v>
      </c>
      <c r="B45" s="10" t="s">
        <v>60</v>
      </c>
      <c r="C45" s="10" t="s">
        <v>216</v>
      </c>
      <c r="D45" s="10" t="s">
        <v>249</v>
      </c>
      <c r="E45" s="10" t="s">
        <v>176</v>
      </c>
      <c r="F45" s="10" t="s">
        <v>203</v>
      </c>
      <c r="G45" s="10" t="s">
        <v>78</v>
      </c>
      <c r="H45" s="11">
        <v>0.8</v>
      </c>
      <c r="I45" s="12">
        <v>45945.708333333299</v>
      </c>
      <c r="J45" s="12">
        <v>46361.708333333299</v>
      </c>
      <c r="K45" s="10">
        <v>-292</v>
      </c>
      <c r="L45" s="13">
        <f t="shared" si="1"/>
        <v>416</v>
      </c>
    </row>
    <row r="46" spans="1:12" ht="26.4" x14ac:dyDescent="0.3">
      <c r="A46" s="9">
        <v>42</v>
      </c>
      <c r="B46" s="10" t="s">
        <v>60</v>
      </c>
      <c r="C46" s="10" t="s">
        <v>216</v>
      </c>
      <c r="D46" s="10" t="s">
        <v>182</v>
      </c>
      <c r="E46" s="10" t="s">
        <v>176</v>
      </c>
      <c r="F46" s="10" t="s">
        <v>203</v>
      </c>
      <c r="G46" s="10" t="s">
        <v>28</v>
      </c>
      <c r="H46" s="11">
        <v>0</v>
      </c>
      <c r="I46" s="12">
        <v>45914.708333333299</v>
      </c>
      <c r="J46" s="12">
        <v>46330.708333333299</v>
      </c>
      <c r="K46" s="10">
        <v>-291</v>
      </c>
      <c r="L46" s="13">
        <f t="shared" si="1"/>
        <v>416</v>
      </c>
    </row>
    <row r="47" spans="1:12" ht="26.4" x14ac:dyDescent="0.3">
      <c r="A47" s="9">
        <v>43</v>
      </c>
      <c r="B47" s="10" t="s">
        <v>250</v>
      </c>
      <c r="C47" s="10" t="s">
        <v>251</v>
      </c>
      <c r="D47" s="10" t="s">
        <v>252</v>
      </c>
      <c r="E47" s="10" t="s">
        <v>253</v>
      </c>
      <c r="F47" s="10" t="s">
        <v>203</v>
      </c>
      <c r="G47" s="10" t="s">
        <v>28</v>
      </c>
      <c r="H47" s="11">
        <v>0</v>
      </c>
      <c r="I47" s="12">
        <v>46076.708333333299</v>
      </c>
      <c r="J47" s="12">
        <v>46487.708333333299</v>
      </c>
      <c r="K47" s="10">
        <v>-217</v>
      </c>
      <c r="L47" s="13">
        <f t="shared" si="1"/>
        <v>411</v>
      </c>
    </row>
    <row r="48" spans="1:12" ht="26.4" x14ac:dyDescent="0.3">
      <c r="A48" s="9">
        <v>44</v>
      </c>
      <c r="B48" s="10" t="s">
        <v>250</v>
      </c>
      <c r="C48" s="10" t="s">
        <v>251</v>
      </c>
      <c r="D48" s="10" t="s">
        <v>254</v>
      </c>
      <c r="E48" s="10" t="s">
        <v>253</v>
      </c>
      <c r="F48" s="10" t="s">
        <v>203</v>
      </c>
      <c r="G48" s="10" t="s">
        <v>28</v>
      </c>
      <c r="H48" s="11">
        <v>0</v>
      </c>
      <c r="I48" s="12">
        <v>46046.708333333299</v>
      </c>
      <c r="J48" s="12">
        <v>46453.708333333299</v>
      </c>
      <c r="K48" s="10">
        <v>-214</v>
      </c>
      <c r="L48" s="13">
        <f t="shared" si="1"/>
        <v>407</v>
      </c>
    </row>
    <row r="49" spans="1:12" ht="26.4" x14ac:dyDescent="0.3">
      <c r="A49" s="9">
        <v>45</v>
      </c>
      <c r="B49" s="10" t="s">
        <v>250</v>
      </c>
      <c r="C49" s="10" t="s">
        <v>251</v>
      </c>
      <c r="D49" s="10" t="s">
        <v>255</v>
      </c>
      <c r="E49" s="10" t="s">
        <v>253</v>
      </c>
      <c r="F49" s="10" t="s">
        <v>203</v>
      </c>
      <c r="G49" s="10" t="s">
        <v>28</v>
      </c>
      <c r="H49" s="11">
        <v>0</v>
      </c>
      <c r="I49" s="12">
        <v>46015.708333333299</v>
      </c>
      <c r="J49" s="12">
        <v>46421.708333333299</v>
      </c>
      <c r="K49" s="10">
        <v>-212</v>
      </c>
      <c r="L49" s="13">
        <f t="shared" si="1"/>
        <v>406</v>
      </c>
    </row>
    <row r="50" spans="1:12" ht="26.4" x14ac:dyDescent="0.3">
      <c r="A50" s="9">
        <v>46</v>
      </c>
      <c r="B50" s="10" t="s">
        <v>250</v>
      </c>
      <c r="C50" s="10" t="s">
        <v>251</v>
      </c>
      <c r="D50" s="10" t="s">
        <v>256</v>
      </c>
      <c r="E50" s="10" t="s">
        <v>253</v>
      </c>
      <c r="F50" s="10" t="s">
        <v>203</v>
      </c>
      <c r="G50" s="10" t="s">
        <v>28</v>
      </c>
      <c r="H50" s="11">
        <v>0</v>
      </c>
      <c r="I50" s="12">
        <v>45955.708333333299</v>
      </c>
      <c r="J50" s="12">
        <v>46361.708333333299</v>
      </c>
      <c r="K50" s="10">
        <v>-217</v>
      </c>
      <c r="L50" s="13">
        <f t="shared" si="1"/>
        <v>406</v>
      </c>
    </row>
    <row r="51" spans="1:12" ht="26.4" x14ac:dyDescent="0.3">
      <c r="A51" s="9">
        <v>47</v>
      </c>
      <c r="B51" s="10" t="s">
        <v>250</v>
      </c>
      <c r="C51" s="10" t="s">
        <v>251</v>
      </c>
      <c r="D51" s="10" t="s">
        <v>257</v>
      </c>
      <c r="E51" s="10" t="s">
        <v>253</v>
      </c>
      <c r="F51" s="10" t="s">
        <v>203</v>
      </c>
      <c r="G51" s="10" t="s">
        <v>28</v>
      </c>
      <c r="H51" s="11">
        <v>0</v>
      </c>
      <c r="I51" s="12">
        <v>45924.708333333299</v>
      </c>
      <c r="J51" s="12">
        <v>46330.708333333299</v>
      </c>
      <c r="K51" s="10">
        <v>-217</v>
      </c>
      <c r="L51" s="13">
        <f t="shared" si="1"/>
        <v>406</v>
      </c>
    </row>
    <row r="52" spans="1:12" ht="26.4" x14ac:dyDescent="0.3">
      <c r="A52" s="9">
        <v>48</v>
      </c>
      <c r="B52" s="10" t="s">
        <v>250</v>
      </c>
      <c r="C52" s="10" t="s">
        <v>251</v>
      </c>
      <c r="D52" s="10" t="s">
        <v>258</v>
      </c>
      <c r="E52" s="10" t="s">
        <v>253</v>
      </c>
      <c r="F52" s="10" t="s">
        <v>203</v>
      </c>
      <c r="G52" s="10" t="s">
        <v>28</v>
      </c>
      <c r="H52" s="11">
        <v>0</v>
      </c>
      <c r="I52" s="12">
        <v>45985.708333333299</v>
      </c>
      <c r="J52" s="12">
        <v>46391.708333333299</v>
      </c>
      <c r="K52" s="10">
        <v>-212</v>
      </c>
      <c r="L52" s="13">
        <f t="shared" si="1"/>
        <v>406</v>
      </c>
    </row>
    <row r="53" spans="1:12" ht="26.4" x14ac:dyDescent="0.3">
      <c r="A53" s="9">
        <v>49</v>
      </c>
      <c r="B53" s="10" t="s">
        <v>79</v>
      </c>
      <c r="C53" s="10" t="s">
        <v>220</v>
      </c>
      <c r="D53" s="10" t="s">
        <v>259</v>
      </c>
      <c r="E53" s="10" t="s">
        <v>260</v>
      </c>
      <c r="F53" s="10" t="s">
        <v>203</v>
      </c>
      <c r="G53" s="10" t="s">
        <v>28</v>
      </c>
      <c r="H53" s="11">
        <v>0</v>
      </c>
      <c r="I53" s="12">
        <v>45914.708333333299</v>
      </c>
      <c r="J53" s="12">
        <v>46319.708333333299</v>
      </c>
      <c r="K53" s="10">
        <v>-329</v>
      </c>
      <c r="L53" s="13">
        <f t="shared" si="1"/>
        <v>405</v>
      </c>
    </row>
    <row r="54" spans="1:12" ht="26.4" x14ac:dyDescent="0.3">
      <c r="A54" s="9">
        <v>50</v>
      </c>
      <c r="B54" s="10" t="s">
        <v>79</v>
      </c>
      <c r="C54" s="10" t="s">
        <v>220</v>
      </c>
      <c r="D54" s="10" t="s">
        <v>261</v>
      </c>
      <c r="E54" s="10" t="s">
        <v>260</v>
      </c>
      <c r="F54" s="10" t="s">
        <v>203</v>
      </c>
      <c r="G54" s="10" t="s">
        <v>28</v>
      </c>
      <c r="H54" s="11">
        <v>0</v>
      </c>
      <c r="I54" s="12">
        <v>45945.708333333299</v>
      </c>
      <c r="J54" s="12">
        <v>46349.708333333299</v>
      </c>
      <c r="K54" s="10">
        <v>-298</v>
      </c>
      <c r="L54" s="13">
        <f t="shared" si="1"/>
        <v>404</v>
      </c>
    </row>
    <row r="55" spans="1:12" ht="26.4" x14ac:dyDescent="0.3">
      <c r="A55" s="9">
        <v>51</v>
      </c>
      <c r="B55" s="10" t="s">
        <v>79</v>
      </c>
      <c r="C55" s="10" t="s">
        <v>220</v>
      </c>
      <c r="D55" s="10" t="s">
        <v>262</v>
      </c>
      <c r="E55" s="10" t="s">
        <v>260</v>
      </c>
      <c r="F55" s="10" t="s">
        <v>203</v>
      </c>
      <c r="G55" s="10" t="s">
        <v>28</v>
      </c>
      <c r="H55" s="11">
        <v>0</v>
      </c>
      <c r="I55" s="12">
        <v>45976.708333333299</v>
      </c>
      <c r="J55" s="12">
        <v>46379.708333333299</v>
      </c>
      <c r="K55" s="10">
        <v>-297</v>
      </c>
      <c r="L55" s="13">
        <f t="shared" si="1"/>
        <v>403</v>
      </c>
    </row>
    <row r="56" spans="1:12" ht="26.4" x14ac:dyDescent="0.3">
      <c r="A56" s="9">
        <v>52</v>
      </c>
      <c r="B56" s="10" t="s">
        <v>129</v>
      </c>
      <c r="C56" s="10" t="s">
        <v>247</v>
      </c>
      <c r="D56" s="10" t="s">
        <v>263</v>
      </c>
      <c r="E56" s="10" t="s">
        <v>135</v>
      </c>
      <c r="F56" s="10" t="s">
        <v>203</v>
      </c>
      <c r="G56" s="10" t="s">
        <v>78</v>
      </c>
      <c r="H56" s="11">
        <v>0</v>
      </c>
      <c r="I56" s="12">
        <v>45924.708333333299</v>
      </c>
      <c r="J56" s="12">
        <v>46323.708333333299</v>
      </c>
      <c r="K56" s="10">
        <v>-125</v>
      </c>
      <c r="L56" s="13">
        <f t="shared" si="1"/>
        <v>399</v>
      </c>
    </row>
    <row r="57" spans="1:12" ht="26.4" x14ac:dyDescent="0.3">
      <c r="A57" s="9">
        <v>53</v>
      </c>
      <c r="B57" s="10" t="s">
        <v>129</v>
      </c>
      <c r="C57" s="10" t="s">
        <v>243</v>
      </c>
      <c r="D57" s="10" t="s">
        <v>264</v>
      </c>
      <c r="E57" s="10" t="s">
        <v>131</v>
      </c>
      <c r="F57" s="10" t="s">
        <v>203</v>
      </c>
      <c r="G57" s="10" t="s">
        <v>78</v>
      </c>
      <c r="H57" s="11">
        <v>0</v>
      </c>
      <c r="I57" s="12">
        <v>45924.708333333299</v>
      </c>
      <c r="J57" s="12">
        <v>46323.708333333299</v>
      </c>
      <c r="K57" s="10">
        <v>-141</v>
      </c>
      <c r="L57" s="13">
        <f t="shared" si="1"/>
        <v>399</v>
      </c>
    </row>
    <row r="58" spans="1:12" ht="26.4" x14ac:dyDescent="0.3">
      <c r="A58" s="9">
        <v>54</v>
      </c>
      <c r="B58" s="10" t="s">
        <v>24</v>
      </c>
      <c r="C58" s="10" t="s">
        <v>25</v>
      </c>
      <c r="D58" s="10" t="s">
        <v>120</v>
      </c>
      <c r="E58" s="10" t="s">
        <v>30</v>
      </c>
      <c r="F58" s="10" t="s">
        <v>203</v>
      </c>
      <c r="G58" s="10" t="s">
        <v>28</v>
      </c>
      <c r="H58" s="11">
        <v>0</v>
      </c>
      <c r="I58" s="12">
        <v>45917.708333333299</v>
      </c>
      <c r="J58" s="12">
        <v>46316.708333333299</v>
      </c>
      <c r="K58" s="10">
        <v>-265</v>
      </c>
      <c r="L58" s="13">
        <f t="shared" si="1"/>
        <v>399</v>
      </c>
    </row>
    <row r="59" spans="1:12" ht="26.4" x14ac:dyDescent="0.3">
      <c r="A59" s="9">
        <v>55</v>
      </c>
      <c r="B59" s="10" t="s">
        <v>129</v>
      </c>
      <c r="C59" s="10" t="s">
        <v>245</v>
      </c>
      <c r="D59" s="10" t="s">
        <v>265</v>
      </c>
      <c r="E59" s="10" t="s">
        <v>139</v>
      </c>
      <c r="F59" s="10" t="s">
        <v>203</v>
      </c>
      <c r="G59" s="10" t="s">
        <v>78</v>
      </c>
      <c r="H59" s="11">
        <v>0</v>
      </c>
      <c r="I59" s="12">
        <v>45924.708333333299</v>
      </c>
      <c r="J59" s="12">
        <v>46323.708333333299</v>
      </c>
      <c r="K59" s="10">
        <v>-111</v>
      </c>
      <c r="L59" s="13">
        <f t="shared" si="1"/>
        <v>399</v>
      </c>
    </row>
    <row r="60" spans="1:12" ht="26.4" x14ac:dyDescent="0.3">
      <c r="A60" s="9">
        <v>56</v>
      </c>
      <c r="B60" s="10" t="s">
        <v>72</v>
      </c>
      <c r="C60" s="10" t="s">
        <v>73</v>
      </c>
      <c r="D60" s="10" t="s">
        <v>76</v>
      </c>
      <c r="E60" s="10" t="s">
        <v>77</v>
      </c>
      <c r="F60" s="10" t="s">
        <v>203</v>
      </c>
      <c r="G60" s="10" t="s">
        <v>78</v>
      </c>
      <c r="H60" s="11">
        <v>0.85</v>
      </c>
      <c r="I60" s="12">
        <v>46067.708333333299</v>
      </c>
      <c r="J60" s="12">
        <v>46463.708333333299</v>
      </c>
      <c r="K60" s="10">
        <v>-289</v>
      </c>
      <c r="L60" s="13">
        <f t="shared" si="1"/>
        <v>396</v>
      </c>
    </row>
    <row r="61" spans="1:12" ht="26.4" x14ac:dyDescent="0.3">
      <c r="A61" s="9">
        <v>57</v>
      </c>
      <c r="B61" s="10" t="s">
        <v>72</v>
      </c>
      <c r="C61" s="10" t="s">
        <v>73</v>
      </c>
      <c r="D61" s="10" t="s">
        <v>74</v>
      </c>
      <c r="E61" s="10" t="s">
        <v>75</v>
      </c>
      <c r="F61" s="10" t="s">
        <v>200</v>
      </c>
      <c r="G61" s="10" t="s">
        <v>28</v>
      </c>
      <c r="H61" s="11">
        <v>0</v>
      </c>
      <c r="I61" s="12">
        <v>45985.708333333299</v>
      </c>
      <c r="J61" s="12">
        <v>46377.708333333299</v>
      </c>
      <c r="K61" s="10">
        <v>-293</v>
      </c>
      <c r="L61" s="13">
        <f t="shared" si="1"/>
        <v>392</v>
      </c>
    </row>
    <row r="62" spans="1:12" ht="26.4" x14ac:dyDescent="0.3">
      <c r="A62" s="9">
        <v>58</v>
      </c>
      <c r="B62" s="10" t="s">
        <v>107</v>
      </c>
      <c r="C62" s="10" t="s">
        <v>266</v>
      </c>
      <c r="D62" s="10" t="s">
        <v>267</v>
      </c>
      <c r="E62" s="10" t="s">
        <v>268</v>
      </c>
      <c r="F62" s="10" t="s">
        <v>200</v>
      </c>
      <c r="G62" s="10" t="s">
        <v>28</v>
      </c>
      <c r="H62" s="11">
        <v>0</v>
      </c>
      <c r="I62" s="12">
        <v>45971.708333333299</v>
      </c>
      <c r="J62" s="12">
        <v>46361.708333333299</v>
      </c>
      <c r="K62" s="10">
        <v>-154</v>
      </c>
      <c r="L62" s="13">
        <f t="shared" si="1"/>
        <v>390</v>
      </c>
    </row>
    <row r="63" spans="1:12" ht="26.4" x14ac:dyDescent="0.3">
      <c r="A63" s="9">
        <v>59</v>
      </c>
      <c r="B63" s="10" t="s">
        <v>129</v>
      </c>
      <c r="C63" s="10" t="s">
        <v>245</v>
      </c>
      <c r="D63" s="10" t="s">
        <v>172</v>
      </c>
      <c r="E63" s="10" t="s">
        <v>139</v>
      </c>
      <c r="F63" s="10" t="s">
        <v>203</v>
      </c>
      <c r="G63" s="10" t="s">
        <v>28</v>
      </c>
      <c r="H63" s="11">
        <v>0</v>
      </c>
      <c r="I63" s="12">
        <v>45955.708333333299</v>
      </c>
      <c r="J63" s="12">
        <v>46342.708333333299</v>
      </c>
      <c r="K63" s="10">
        <v>-111</v>
      </c>
      <c r="L63" s="13">
        <f t="shared" si="1"/>
        <v>387</v>
      </c>
    </row>
    <row r="64" spans="1:12" ht="26.4" x14ac:dyDescent="0.3">
      <c r="A64" s="9">
        <v>60</v>
      </c>
      <c r="B64" s="10" t="s">
        <v>129</v>
      </c>
      <c r="C64" s="10" t="s">
        <v>243</v>
      </c>
      <c r="D64" s="10" t="s">
        <v>269</v>
      </c>
      <c r="E64" s="10" t="s">
        <v>131</v>
      </c>
      <c r="F64" s="10" t="s">
        <v>203</v>
      </c>
      <c r="G64" s="10" t="s">
        <v>28</v>
      </c>
      <c r="H64" s="11">
        <v>0</v>
      </c>
      <c r="I64" s="12">
        <v>45955.708333333299</v>
      </c>
      <c r="J64" s="12">
        <v>46342.708333333299</v>
      </c>
      <c r="K64" s="10">
        <v>-141</v>
      </c>
      <c r="L64" s="13">
        <f t="shared" si="1"/>
        <v>387</v>
      </c>
    </row>
    <row r="65" spans="1:12" ht="26.4" x14ac:dyDescent="0.3">
      <c r="A65" s="9">
        <v>61</v>
      </c>
      <c r="B65" s="10" t="s">
        <v>129</v>
      </c>
      <c r="C65" s="10" t="s">
        <v>247</v>
      </c>
      <c r="D65" s="10" t="s">
        <v>270</v>
      </c>
      <c r="E65" s="10" t="s">
        <v>135</v>
      </c>
      <c r="F65" s="10" t="s">
        <v>203</v>
      </c>
      <c r="G65" s="10" t="s">
        <v>28</v>
      </c>
      <c r="H65" s="11">
        <v>0</v>
      </c>
      <c r="I65" s="12">
        <v>45955.708333333299</v>
      </c>
      <c r="J65" s="12">
        <v>46342.708333333299</v>
      </c>
      <c r="K65" s="10">
        <v>-125</v>
      </c>
      <c r="L65" s="13">
        <f t="shared" si="1"/>
        <v>387</v>
      </c>
    </row>
    <row r="66" spans="1:12" ht="26.4" x14ac:dyDescent="0.3">
      <c r="A66" s="9">
        <v>62</v>
      </c>
      <c r="B66" s="10" t="s">
        <v>24</v>
      </c>
      <c r="C66" s="10" t="s">
        <v>25</v>
      </c>
      <c r="D66" s="10" t="s">
        <v>117</v>
      </c>
      <c r="E66" s="10" t="s">
        <v>30</v>
      </c>
      <c r="F66" s="10" t="s">
        <v>203</v>
      </c>
      <c r="G66" s="10" t="s">
        <v>28</v>
      </c>
      <c r="H66" s="11">
        <v>0</v>
      </c>
      <c r="I66" s="12">
        <v>45937.708333333299</v>
      </c>
      <c r="J66" s="12">
        <v>46323.708333333299</v>
      </c>
      <c r="K66" s="10">
        <v>-265</v>
      </c>
      <c r="L66" s="13">
        <f t="shared" si="1"/>
        <v>386</v>
      </c>
    </row>
    <row r="67" spans="1:12" ht="26.4" x14ac:dyDescent="0.3">
      <c r="A67" s="9">
        <v>63</v>
      </c>
      <c r="B67" s="10" t="s">
        <v>60</v>
      </c>
      <c r="C67" s="10" t="s">
        <v>216</v>
      </c>
      <c r="D67" s="10" t="s">
        <v>175</v>
      </c>
      <c r="E67" s="10" t="s">
        <v>176</v>
      </c>
      <c r="F67" s="10" t="s">
        <v>203</v>
      </c>
      <c r="G67" s="10" t="s">
        <v>28</v>
      </c>
      <c r="H67" s="11">
        <v>0</v>
      </c>
      <c r="I67" s="12">
        <v>46006.708333333299</v>
      </c>
      <c r="J67" s="12">
        <v>46391.708333333299</v>
      </c>
      <c r="K67" s="10">
        <v>-292</v>
      </c>
      <c r="L67" s="13">
        <f t="shared" si="1"/>
        <v>385</v>
      </c>
    </row>
    <row r="68" spans="1:12" ht="26.4" x14ac:dyDescent="0.3">
      <c r="A68" s="9">
        <v>64</v>
      </c>
      <c r="B68" s="10" t="s">
        <v>79</v>
      </c>
      <c r="C68" s="10" t="s">
        <v>80</v>
      </c>
      <c r="D68" s="10" t="s">
        <v>271</v>
      </c>
      <c r="E68" s="10" t="s">
        <v>84</v>
      </c>
      <c r="F68" s="10" t="s">
        <v>203</v>
      </c>
      <c r="G68" s="10" t="s">
        <v>28</v>
      </c>
      <c r="H68" s="11">
        <v>0</v>
      </c>
      <c r="I68" s="12">
        <v>46161.708333333299</v>
      </c>
      <c r="J68" s="12">
        <v>46546.708333333299</v>
      </c>
      <c r="K68" s="10">
        <v>-331</v>
      </c>
      <c r="L68" s="13">
        <f t="shared" si="1"/>
        <v>385</v>
      </c>
    </row>
    <row r="69" spans="1:12" ht="26.4" x14ac:dyDescent="0.3">
      <c r="A69" s="9">
        <v>65</v>
      </c>
      <c r="B69" s="10" t="s">
        <v>60</v>
      </c>
      <c r="C69" s="10" t="s">
        <v>216</v>
      </c>
      <c r="D69" s="10" t="s">
        <v>179</v>
      </c>
      <c r="E69" s="10" t="s">
        <v>176</v>
      </c>
      <c r="F69" s="10" t="s">
        <v>203</v>
      </c>
      <c r="G69" s="10" t="s">
        <v>28</v>
      </c>
      <c r="H69" s="11">
        <v>0</v>
      </c>
      <c r="I69" s="12">
        <v>45976.708333333299</v>
      </c>
      <c r="J69" s="12">
        <v>46361.708333333299</v>
      </c>
      <c r="K69" s="10">
        <v>-292</v>
      </c>
      <c r="L69" s="13">
        <f t="shared" ref="L69:L100" si="2">J69-I69</f>
        <v>385</v>
      </c>
    </row>
    <row r="70" spans="1:12" ht="26.4" x14ac:dyDescent="0.3">
      <c r="A70" s="9">
        <v>66</v>
      </c>
      <c r="B70" s="10" t="s">
        <v>60</v>
      </c>
      <c r="C70" s="10" t="s">
        <v>216</v>
      </c>
      <c r="D70" s="10" t="s">
        <v>272</v>
      </c>
      <c r="E70" s="10" t="s">
        <v>176</v>
      </c>
      <c r="F70" s="10" t="s">
        <v>203</v>
      </c>
      <c r="G70" s="10" t="s">
        <v>28</v>
      </c>
      <c r="H70" s="11">
        <v>0</v>
      </c>
      <c r="I70" s="12">
        <v>46036.708333333299</v>
      </c>
      <c r="J70" s="12">
        <v>46421.708333333299</v>
      </c>
      <c r="K70" s="10">
        <v>-169</v>
      </c>
      <c r="L70" s="13">
        <f t="shared" si="2"/>
        <v>385</v>
      </c>
    </row>
    <row r="71" spans="1:12" ht="26.4" x14ac:dyDescent="0.3">
      <c r="A71" s="9">
        <v>67</v>
      </c>
      <c r="B71" s="10" t="s">
        <v>273</v>
      </c>
      <c r="C71" s="10" t="s">
        <v>274</v>
      </c>
      <c r="D71" s="10" t="s">
        <v>275</v>
      </c>
      <c r="E71" s="10" t="s">
        <v>276</v>
      </c>
      <c r="F71" s="10" t="s">
        <v>203</v>
      </c>
      <c r="G71" s="10" t="s">
        <v>78</v>
      </c>
      <c r="H71" s="11">
        <v>0.97</v>
      </c>
      <c r="I71" s="12">
        <v>45997.708333333299</v>
      </c>
      <c r="J71" s="12">
        <v>46382.708333333299</v>
      </c>
      <c r="K71" s="10">
        <v>-91</v>
      </c>
      <c r="L71" s="13">
        <f t="shared" si="2"/>
        <v>385</v>
      </c>
    </row>
    <row r="72" spans="1:12" ht="26.4" x14ac:dyDescent="0.3">
      <c r="A72" s="9">
        <v>68</v>
      </c>
      <c r="B72" s="10" t="s">
        <v>79</v>
      </c>
      <c r="C72" s="10" t="s">
        <v>80</v>
      </c>
      <c r="D72" s="10" t="s">
        <v>83</v>
      </c>
      <c r="E72" s="10" t="s">
        <v>84</v>
      </c>
      <c r="F72" s="10" t="s">
        <v>203</v>
      </c>
      <c r="G72" s="10" t="s">
        <v>78</v>
      </c>
      <c r="H72" s="11">
        <v>0.8</v>
      </c>
      <c r="I72" s="12">
        <v>46097.708333333299</v>
      </c>
      <c r="J72" s="12">
        <v>46480.708333333299</v>
      </c>
      <c r="K72" s="10">
        <v>-331</v>
      </c>
      <c r="L72" s="13">
        <f t="shared" si="2"/>
        <v>383</v>
      </c>
    </row>
    <row r="73" spans="1:12" ht="26.4" x14ac:dyDescent="0.3">
      <c r="A73" s="9">
        <v>69</v>
      </c>
      <c r="B73" s="10" t="s">
        <v>79</v>
      </c>
      <c r="C73" s="10" t="s">
        <v>80</v>
      </c>
      <c r="D73" s="10" t="s">
        <v>277</v>
      </c>
      <c r="E73" s="10" t="s">
        <v>84</v>
      </c>
      <c r="F73" s="10" t="s">
        <v>203</v>
      </c>
      <c r="G73" s="10" t="s">
        <v>28</v>
      </c>
      <c r="H73" s="11">
        <v>0</v>
      </c>
      <c r="I73" s="12">
        <v>46196.708333333299</v>
      </c>
      <c r="J73" s="12">
        <v>46576.708333333299</v>
      </c>
      <c r="K73" s="10">
        <v>-331</v>
      </c>
      <c r="L73" s="13">
        <f t="shared" si="2"/>
        <v>380</v>
      </c>
    </row>
    <row r="74" spans="1:12" ht="26.4" x14ac:dyDescent="0.3">
      <c r="A74" s="9">
        <v>70</v>
      </c>
      <c r="B74" s="10" t="s">
        <v>79</v>
      </c>
      <c r="C74" s="10" t="s">
        <v>80</v>
      </c>
      <c r="D74" s="10" t="s">
        <v>278</v>
      </c>
      <c r="E74" s="10" t="s">
        <v>84</v>
      </c>
      <c r="F74" s="10" t="s">
        <v>203</v>
      </c>
      <c r="G74" s="10" t="s">
        <v>28</v>
      </c>
      <c r="H74" s="11">
        <v>0</v>
      </c>
      <c r="I74" s="12">
        <v>46131.708333333299</v>
      </c>
      <c r="J74" s="12">
        <v>46510.708333333299</v>
      </c>
      <c r="K74" s="10">
        <v>-326</v>
      </c>
      <c r="L74" s="13">
        <f t="shared" si="2"/>
        <v>379</v>
      </c>
    </row>
    <row r="75" spans="1:12" ht="26.4" x14ac:dyDescent="0.3">
      <c r="A75" s="9">
        <v>71</v>
      </c>
      <c r="B75" s="10" t="s">
        <v>79</v>
      </c>
      <c r="C75" s="10" t="s">
        <v>80</v>
      </c>
      <c r="D75" s="10" t="s">
        <v>279</v>
      </c>
      <c r="E75" s="10" t="s">
        <v>84</v>
      </c>
      <c r="F75" s="10" t="s">
        <v>203</v>
      </c>
      <c r="G75" s="10" t="s">
        <v>28</v>
      </c>
      <c r="H75" s="11">
        <v>0</v>
      </c>
      <c r="I75" s="12">
        <v>46067.708333333299</v>
      </c>
      <c r="J75" s="12">
        <v>46446.708333333299</v>
      </c>
      <c r="K75" s="10">
        <v>-327</v>
      </c>
      <c r="L75" s="13">
        <f t="shared" si="2"/>
        <v>379</v>
      </c>
    </row>
    <row r="76" spans="1:12" ht="26.4" x14ac:dyDescent="0.3">
      <c r="A76" s="9">
        <v>72</v>
      </c>
      <c r="B76" s="10" t="s">
        <v>79</v>
      </c>
      <c r="C76" s="10" t="s">
        <v>91</v>
      </c>
      <c r="D76" s="10" t="s">
        <v>280</v>
      </c>
      <c r="E76" s="10" t="s">
        <v>95</v>
      </c>
      <c r="F76" s="10" t="s">
        <v>203</v>
      </c>
      <c r="G76" s="10" t="s">
        <v>28</v>
      </c>
      <c r="H76" s="11">
        <v>0</v>
      </c>
      <c r="I76" s="12">
        <v>45945.708333333299</v>
      </c>
      <c r="J76" s="12">
        <v>46323.708333333299</v>
      </c>
      <c r="K76" s="10">
        <v>-329</v>
      </c>
      <c r="L76" s="13">
        <f t="shared" si="2"/>
        <v>378</v>
      </c>
    </row>
    <row r="77" spans="1:12" ht="26.4" x14ac:dyDescent="0.3">
      <c r="A77" s="9">
        <v>73</v>
      </c>
      <c r="B77" s="10" t="s">
        <v>79</v>
      </c>
      <c r="C77" s="10" t="s">
        <v>80</v>
      </c>
      <c r="D77" s="10" t="s">
        <v>281</v>
      </c>
      <c r="E77" s="10" t="s">
        <v>84</v>
      </c>
      <c r="F77" s="10" t="s">
        <v>203</v>
      </c>
      <c r="G77" s="10" t="s">
        <v>28</v>
      </c>
      <c r="H77" s="11">
        <v>0</v>
      </c>
      <c r="I77" s="12">
        <v>46006.708333333299</v>
      </c>
      <c r="J77" s="12">
        <v>46384.708333333299</v>
      </c>
      <c r="K77" s="10">
        <v>-329</v>
      </c>
      <c r="L77" s="13">
        <f t="shared" si="2"/>
        <v>378</v>
      </c>
    </row>
    <row r="78" spans="1:12" ht="26.4" x14ac:dyDescent="0.3">
      <c r="A78" s="9">
        <v>74</v>
      </c>
      <c r="B78" s="10" t="s">
        <v>79</v>
      </c>
      <c r="C78" s="10" t="s">
        <v>220</v>
      </c>
      <c r="D78" s="10" t="s">
        <v>282</v>
      </c>
      <c r="E78" s="10" t="s">
        <v>260</v>
      </c>
      <c r="F78" s="10" t="s">
        <v>203</v>
      </c>
      <c r="G78" s="10" t="s">
        <v>28</v>
      </c>
      <c r="H78" s="11">
        <v>0</v>
      </c>
      <c r="I78" s="12">
        <v>46097.708333333299</v>
      </c>
      <c r="J78" s="12">
        <v>46475.708333333299</v>
      </c>
      <c r="K78" s="10">
        <v>-294</v>
      </c>
      <c r="L78" s="13">
        <f t="shared" si="2"/>
        <v>378</v>
      </c>
    </row>
    <row r="79" spans="1:12" ht="26.4" x14ac:dyDescent="0.3">
      <c r="A79" s="9">
        <v>75</v>
      </c>
      <c r="B79" s="10" t="s">
        <v>79</v>
      </c>
      <c r="C79" s="10" t="s">
        <v>80</v>
      </c>
      <c r="D79" s="10" t="s">
        <v>283</v>
      </c>
      <c r="E79" s="10" t="s">
        <v>84</v>
      </c>
      <c r="F79" s="10" t="s">
        <v>203</v>
      </c>
      <c r="G79" s="10" t="s">
        <v>28</v>
      </c>
      <c r="H79" s="11">
        <v>0</v>
      </c>
      <c r="I79" s="12">
        <v>46036.708333333299</v>
      </c>
      <c r="J79" s="12">
        <v>46414.708333333299</v>
      </c>
      <c r="K79" s="10">
        <v>-329</v>
      </c>
      <c r="L79" s="13">
        <f t="shared" si="2"/>
        <v>378</v>
      </c>
    </row>
    <row r="80" spans="1:12" ht="26.4" x14ac:dyDescent="0.3">
      <c r="A80" s="9">
        <v>76</v>
      </c>
      <c r="B80" s="10" t="s">
        <v>79</v>
      </c>
      <c r="C80" s="10" t="s">
        <v>80</v>
      </c>
      <c r="D80" s="10" t="s">
        <v>284</v>
      </c>
      <c r="E80" s="10" t="s">
        <v>84</v>
      </c>
      <c r="F80" s="10" t="s">
        <v>203</v>
      </c>
      <c r="G80" s="10" t="s">
        <v>28</v>
      </c>
      <c r="H80" s="11">
        <v>0</v>
      </c>
      <c r="I80" s="12">
        <v>45976.708333333299</v>
      </c>
      <c r="J80" s="12">
        <v>46354.708333333299</v>
      </c>
      <c r="K80" s="10">
        <v>-329</v>
      </c>
      <c r="L80" s="13">
        <f t="shared" si="2"/>
        <v>378</v>
      </c>
    </row>
    <row r="81" spans="1:12" ht="26.4" x14ac:dyDescent="0.3">
      <c r="A81" s="9">
        <v>77</v>
      </c>
      <c r="B81" s="10" t="s">
        <v>250</v>
      </c>
      <c r="C81" s="10" t="s">
        <v>285</v>
      </c>
      <c r="D81" s="10" t="s">
        <v>286</v>
      </c>
      <c r="E81" s="10" t="s">
        <v>287</v>
      </c>
      <c r="F81" s="10" t="s">
        <v>203</v>
      </c>
      <c r="G81" s="10" t="s">
        <v>28</v>
      </c>
      <c r="H81" s="11">
        <v>0</v>
      </c>
      <c r="I81" s="12">
        <v>46110.708333333299</v>
      </c>
      <c r="J81" s="12">
        <v>46487.708333333299</v>
      </c>
      <c r="K81" s="10">
        <v>-214</v>
      </c>
      <c r="L81" s="13">
        <f t="shared" si="2"/>
        <v>377</v>
      </c>
    </row>
    <row r="82" spans="1:12" ht="26.4" x14ac:dyDescent="0.3">
      <c r="A82" s="9">
        <v>78</v>
      </c>
      <c r="B82" s="10" t="s">
        <v>250</v>
      </c>
      <c r="C82" s="10" t="s">
        <v>285</v>
      </c>
      <c r="D82" s="10" t="s">
        <v>288</v>
      </c>
      <c r="E82" s="10" t="s">
        <v>287</v>
      </c>
      <c r="F82" s="10" t="s">
        <v>203</v>
      </c>
      <c r="G82" s="10" t="s">
        <v>28</v>
      </c>
      <c r="H82" s="11">
        <v>0</v>
      </c>
      <c r="I82" s="12">
        <v>46076.708333333299</v>
      </c>
      <c r="J82" s="12">
        <v>46453.708333333299</v>
      </c>
      <c r="K82" s="10">
        <v>-210</v>
      </c>
      <c r="L82" s="13">
        <f t="shared" si="2"/>
        <v>377</v>
      </c>
    </row>
    <row r="83" spans="1:12" ht="26.4" x14ac:dyDescent="0.3">
      <c r="A83" s="9">
        <v>79</v>
      </c>
      <c r="B83" s="10" t="s">
        <v>250</v>
      </c>
      <c r="C83" s="10" t="s">
        <v>285</v>
      </c>
      <c r="D83" s="10" t="s">
        <v>289</v>
      </c>
      <c r="E83" s="10" t="s">
        <v>287</v>
      </c>
      <c r="F83" s="10" t="s">
        <v>203</v>
      </c>
      <c r="G83" s="10" t="s">
        <v>28</v>
      </c>
      <c r="H83" s="11">
        <v>0</v>
      </c>
      <c r="I83" s="12">
        <v>45985.708333333299</v>
      </c>
      <c r="J83" s="12">
        <v>46361.708333333299</v>
      </c>
      <c r="K83" s="10">
        <v>-214</v>
      </c>
      <c r="L83" s="13">
        <f t="shared" si="2"/>
        <v>376</v>
      </c>
    </row>
    <row r="84" spans="1:12" ht="26.4" x14ac:dyDescent="0.3">
      <c r="A84" s="9">
        <v>80</v>
      </c>
      <c r="B84" s="10" t="s">
        <v>250</v>
      </c>
      <c r="C84" s="10" t="s">
        <v>285</v>
      </c>
      <c r="D84" s="10" t="s">
        <v>290</v>
      </c>
      <c r="E84" s="10" t="s">
        <v>287</v>
      </c>
      <c r="F84" s="10" t="s">
        <v>203</v>
      </c>
      <c r="G84" s="10" t="s">
        <v>28</v>
      </c>
      <c r="H84" s="11">
        <v>0</v>
      </c>
      <c r="I84" s="12">
        <v>46015.708333333299</v>
      </c>
      <c r="J84" s="12">
        <v>46391.708333333299</v>
      </c>
      <c r="K84" s="10">
        <v>-209</v>
      </c>
      <c r="L84" s="13">
        <f t="shared" si="2"/>
        <v>376</v>
      </c>
    </row>
    <row r="85" spans="1:12" ht="26.4" x14ac:dyDescent="0.3">
      <c r="A85" s="9">
        <v>81</v>
      </c>
      <c r="B85" s="10" t="s">
        <v>250</v>
      </c>
      <c r="C85" s="10" t="s">
        <v>285</v>
      </c>
      <c r="D85" s="10" t="s">
        <v>291</v>
      </c>
      <c r="E85" s="10" t="s">
        <v>287</v>
      </c>
      <c r="F85" s="10" t="s">
        <v>203</v>
      </c>
      <c r="G85" s="10" t="s">
        <v>28</v>
      </c>
      <c r="H85" s="11">
        <v>0</v>
      </c>
      <c r="I85" s="12">
        <v>45955.708333333299</v>
      </c>
      <c r="J85" s="12">
        <v>46330.708333333299</v>
      </c>
      <c r="K85" s="10">
        <v>-213</v>
      </c>
      <c r="L85" s="13">
        <f t="shared" si="2"/>
        <v>375</v>
      </c>
    </row>
    <row r="86" spans="1:12" ht="26.4" x14ac:dyDescent="0.3">
      <c r="A86" s="9">
        <v>82</v>
      </c>
      <c r="B86" s="10" t="s">
        <v>250</v>
      </c>
      <c r="C86" s="10" t="s">
        <v>285</v>
      </c>
      <c r="D86" s="10" t="s">
        <v>292</v>
      </c>
      <c r="E86" s="10" t="s">
        <v>287</v>
      </c>
      <c r="F86" s="10" t="s">
        <v>203</v>
      </c>
      <c r="G86" s="10" t="s">
        <v>28</v>
      </c>
      <c r="H86" s="11">
        <v>0</v>
      </c>
      <c r="I86" s="12">
        <v>46046.708333333299</v>
      </c>
      <c r="J86" s="12">
        <v>46421.708333333299</v>
      </c>
      <c r="K86" s="10">
        <v>-209</v>
      </c>
      <c r="L86" s="13">
        <f t="shared" si="2"/>
        <v>375</v>
      </c>
    </row>
    <row r="87" spans="1:12" ht="26.4" x14ac:dyDescent="0.3">
      <c r="A87" s="9">
        <v>83</v>
      </c>
      <c r="B87" s="10" t="s">
        <v>79</v>
      </c>
      <c r="C87" s="10" t="s">
        <v>220</v>
      </c>
      <c r="D87" s="10" t="s">
        <v>293</v>
      </c>
      <c r="E87" s="10" t="s">
        <v>260</v>
      </c>
      <c r="F87" s="10" t="s">
        <v>203</v>
      </c>
      <c r="G87" s="10" t="s">
        <v>28</v>
      </c>
      <c r="H87" s="11">
        <v>0</v>
      </c>
      <c r="I87" s="12">
        <v>46036.708333333299</v>
      </c>
      <c r="J87" s="12">
        <v>46410.708333333299</v>
      </c>
      <c r="K87" s="10">
        <v>-294</v>
      </c>
      <c r="L87" s="13">
        <f t="shared" si="2"/>
        <v>374</v>
      </c>
    </row>
    <row r="88" spans="1:12" ht="26.4" x14ac:dyDescent="0.3">
      <c r="A88" s="9">
        <v>84</v>
      </c>
      <c r="B88" s="10" t="s">
        <v>79</v>
      </c>
      <c r="C88" s="10" t="s">
        <v>220</v>
      </c>
      <c r="D88" s="10" t="s">
        <v>294</v>
      </c>
      <c r="E88" s="10" t="s">
        <v>260</v>
      </c>
      <c r="F88" s="10" t="s">
        <v>203</v>
      </c>
      <c r="G88" s="10" t="s">
        <v>28</v>
      </c>
      <c r="H88" s="11">
        <v>0</v>
      </c>
      <c r="I88" s="12">
        <v>46131.708333333299</v>
      </c>
      <c r="J88" s="12">
        <v>46505.708333333299</v>
      </c>
      <c r="K88" s="10">
        <v>-219</v>
      </c>
      <c r="L88" s="13">
        <f t="shared" si="2"/>
        <v>374</v>
      </c>
    </row>
    <row r="89" spans="1:12" ht="26.4" x14ac:dyDescent="0.3">
      <c r="A89" s="9">
        <v>85</v>
      </c>
      <c r="B89" s="10" t="s">
        <v>79</v>
      </c>
      <c r="C89" s="10" t="s">
        <v>220</v>
      </c>
      <c r="D89" s="10" t="s">
        <v>295</v>
      </c>
      <c r="E89" s="10" t="s">
        <v>260</v>
      </c>
      <c r="F89" s="10" t="s">
        <v>203</v>
      </c>
      <c r="G89" s="10" t="s">
        <v>28</v>
      </c>
      <c r="H89" s="11">
        <v>0</v>
      </c>
      <c r="I89" s="12">
        <v>46067.708333333299</v>
      </c>
      <c r="J89" s="12">
        <v>46441.708333333299</v>
      </c>
      <c r="K89" s="10">
        <v>-295</v>
      </c>
      <c r="L89" s="13">
        <f t="shared" si="2"/>
        <v>374</v>
      </c>
    </row>
    <row r="90" spans="1:12" ht="26.4" x14ac:dyDescent="0.3">
      <c r="A90" s="9">
        <v>86</v>
      </c>
      <c r="B90" s="10" t="s">
        <v>79</v>
      </c>
      <c r="C90" s="10" t="s">
        <v>220</v>
      </c>
      <c r="D90" s="10" t="s">
        <v>296</v>
      </c>
      <c r="E90" s="10" t="s">
        <v>260</v>
      </c>
      <c r="F90" s="10" t="s">
        <v>203</v>
      </c>
      <c r="G90" s="10" t="s">
        <v>28</v>
      </c>
      <c r="H90" s="11">
        <v>0</v>
      </c>
      <c r="I90" s="12">
        <v>46006.708333333299</v>
      </c>
      <c r="J90" s="12">
        <v>46379.708333333299</v>
      </c>
      <c r="K90" s="10">
        <v>-297</v>
      </c>
      <c r="L90" s="13">
        <f t="shared" si="2"/>
        <v>373</v>
      </c>
    </row>
    <row r="91" spans="1:12" ht="26.4" x14ac:dyDescent="0.3">
      <c r="A91" s="9">
        <v>87</v>
      </c>
      <c r="B91" s="10" t="s">
        <v>79</v>
      </c>
      <c r="C91" s="10" t="s">
        <v>91</v>
      </c>
      <c r="D91" s="10" t="s">
        <v>297</v>
      </c>
      <c r="E91" s="10" t="s">
        <v>95</v>
      </c>
      <c r="F91" s="10" t="s">
        <v>203</v>
      </c>
      <c r="G91" s="10" t="s">
        <v>28</v>
      </c>
      <c r="H91" s="11">
        <v>0</v>
      </c>
      <c r="I91" s="12">
        <v>45976.708333333299</v>
      </c>
      <c r="J91" s="12">
        <v>46337.708333333299</v>
      </c>
      <c r="K91" s="10">
        <v>-272</v>
      </c>
      <c r="L91" s="13">
        <f t="shared" si="2"/>
        <v>361</v>
      </c>
    </row>
    <row r="92" spans="1:12" ht="26.4" x14ac:dyDescent="0.3">
      <c r="A92" s="9">
        <v>88</v>
      </c>
      <c r="B92" s="10" t="s">
        <v>129</v>
      </c>
      <c r="C92" s="10" t="s">
        <v>243</v>
      </c>
      <c r="D92" s="10" t="s">
        <v>166</v>
      </c>
      <c r="E92" s="10" t="s">
        <v>131</v>
      </c>
      <c r="F92" s="10" t="s">
        <v>203</v>
      </c>
      <c r="G92" s="10" t="s">
        <v>28</v>
      </c>
      <c r="H92" s="11">
        <v>0</v>
      </c>
      <c r="I92" s="12">
        <v>45985.708333333299</v>
      </c>
      <c r="J92" s="12">
        <v>46342.708333333299</v>
      </c>
      <c r="K92" s="10">
        <v>-141</v>
      </c>
      <c r="L92" s="13">
        <f t="shared" si="2"/>
        <v>357</v>
      </c>
    </row>
    <row r="93" spans="1:12" ht="26.4" x14ac:dyDescent="0.3">
      <c r="A93" s="9">
        <v>89</v>
      </c>
      <c r="B93" s="10" t="s">
        <v>129</v>
      </c>
      <c r="C93" s="10" t="s">
        <v>245</v>
      </c>
      <c r="D93" s="10" t="s">
        <v>169</v>
      </c>
      <c r="E93" s="10" t="s">
        <v>139</v>
      </c>
      <c r="F93" s="10" t="s">
        <v>203</v>
      </c>
      <c r="G93" s="10" t="s">
        <v>28</v>
      </c>
      <c r="H93" s="11">
        <v>0</v>
      </c>
      <c r="I93" s="12">
        <v>45985.708333333299</v>
      </c>
      <c r="J93" s="12">
        <v>46342.708333333299</v>
      </c>
      <c r="K93" s="10">
        <v>-111</v>
      </c>
      <c r="L93" s="13">
        <f t="shared" si="2"/>
        <v>357</v>
      </c>
    </row>
    <row r="94" spans="1:12" ht="26.4" x14ac:dyDescent="0.3">
      <c r="A94" s="9">
        <v>90</v>
      </c>
      <c r="B94" s="10" t="s">
        <v>129</v>
      </c>
      <c r="C94" s="10" t="s">
        <v>247</v>
      </c>
      <c r="D94" s="10" t="s">
        <v>298</v>
      </c>
      <c r="E94" s="10" t="s">
        <v>135</v>
      </c>
      <c r="F94" s="10" t="s">
        <v>203</v>
      </c>
      <c r="G94" s="10" t="s">
        <v>28</v>
      </c>
      <c r="H94" s="11">
        <v>0</v>
      </c>
      <c r="I94" s="12">
        <v>45985.708333333299</v>
      </c>
      <c r="J94" s="12">
        <v>46342.708333333299</v>
      </c>
      <c r="K94" s="10">
        <v>-125</v>
      </c>
      <c r="L94" s="13">
        <f t="shared" si="2"/>
        <v>357</v>
      </c>
    </row>
    <row r="95" spans="1:12" ht="26.4" x14ac:dyDescent="0.3">
      <c r="A95" s="9">
        <v>91</v>
      </c>
      <c r="B95" s="10" t="s">
        <v>107</v>
      </c>
      <c r="C95" s="10" t="s">
        <v>266</v>
      </c>
      <c r="D95" s="10" t="s">
        <v>108</v>
      </c>
      <c r="E95" s="10" t="s">
        <v>109</v>
      </c>
      <c r="F95" s="10" t="s">
        <v>203</v>
      </c>
      <c r="G95" s="10" t="s">
        <v>28</v>
      </c>
      <c r="H95" s="11">
        <v>0</v>
      </c>
      <c r="I95" s="12">
        <v>46041.708333333299</v>
      </c>
      <c r="J95" s="12">
        <v>46391.708333333299</v>
      </c>
      <c r="K95" s="10">
        <v>-154</v>
      </c>
      <c r="L95" s="13">
        <f t="shared" si="2"/>
        <v>350</v>
      </c>
    </row>
    <row r="96" spans="1:12" ht="26.4" x14ac:dyDescent="0.3">
      <c r="A96" s="9">
        <v>92</v>
      </c>
      <c r="B96" s="10" t="s">
        <v>107</v>
      </c>
      <c r="C96" s="10" t="s">
        <v>266</v>
      </c>
      <c r="D96" s="10" t="s">
        <v>112</v>
      </c>
      <c r="E96" s="10" t="s">
        <v>109</v>
      </c>
      <c r="F96" s="10" t="s">
        <v>203</v>
      </c>
      <c r="G96" s="10" t="s">
        <v>28</v>
      </c>
      <c r="H96" s="11">
        <v>0</v>
      </c>
      <c r="I96" s="12">
        <v>46085.708333333299</v>
      </c>
      <c r="J96" s="12">
        <v>46435.708333333299</v>
      </c>
      <c r="K96" s="10">
        <v>-154</v>
      </c>
      <c r="L96" s="13">
        <f t="shared" si="2"/>
        <v>350</v>
      </c>
    </row>
    <row r="97" spans="1:12" ht="26.4" x14ac:dyDescent="0.3">
      <c r="A97" s="9">
        <v>93</v>
      </c>
      <c r="B97" s="10" t="s">
        <v>79</v>
      </c>
      <c r="C97" s="10" t="s">
        <v>91</v>
      </c>
      <c r="D97" s="10" t="s">
        <v>299</v>
      </c>
      <c r="E97" s="10" t="s">
        <v>95</v>
      </c>
      <c r="F97" s="10" t="s">
        <v>203</v>
      </c>
      <c r="G97" s="10" t="s">
        <v>28</v>
      </c>
      <c r="H97" s="11">
        <v>0</v>
      </c>
      <c r="I97" s="12">
        <v>46161.708333333299</v>
      </c>
      <c r="J97" s="12">
        <v>46494.708333333299</v>
      </c>
      <c r="K97" s="10">
        <v>-244</v>
      </c>
      <c r="L97" s="13">
        <f t="shared" si="2"/>
        <v>333</v>
      </c>
    </row>
    <row r="98" spans="1:12" ht="26.4" x14ac:dyDescent="0.3">
      <c r="A98" s="9">
        <v>94</v>
      </c>
      <c r="B98" s="10" t="s">
        <v>79</v>
      </c>
      <c r="C98" s="10" t="s">
        <v>91</v>
      </c>
      <c r="D98" s="10" t="s">
        <v>300</v>
      </c>
      <c r="E98" s="10" t="s">
        <v>95</v>
      </c>
      <c r="F98" s="10" t="s">
        <v>203</v>
      </c>
      <c r="G98" s="10" t="s">
        <v>28</v>
      </c>
      <c r="H98" s="11">
        <v>0</v>
      </c>
      <c r="I98" s="12">
        <v>46131.708333333299</v>
      </c>
      <c r="J98" s="12">
        <v>46463.708333333299</v>
      </c>
      <c r="K98" s="10">
        <v>-268</v>
      </c>
      <c r="L98" s="13">
        <f t="shared" si="2"/>
        <v>332</v>
      </c>
    </row>
    <row r="99" spans="1:12" ht="26.4" x14ac:dyDescent="0.3">
      <c r="A99" s="9">
        <v>95</v>
      </c>
      <c r="B99" s="10" t="s">
        <v>79</v>
      </c>
      <c r="C99" s="10" t="s">
        <v>91</v>
      </c>
      <c r="D99" s="10" t="s">
        <v>301</v>
      </c>
      <c r="E99" s="10" t="s">
        <v>95</v>
      </c>
      <c r="F99" s="10" t="s">
        <v>203</v>
      </c>
      <c r="G99" s="10" t="s">
        <v>28</v>
      </c>
      <c r="H99" s="11">
        <v>0</v>
      </c>
      <c r="I99" s="12">
        <v>46036.708333333299</v>
      </c>
      <c r="J99" s="12">
        <v>46368.708333333299</v>
      </c>
      <c r="K99" s="10">
        <v>-272</v>
      </c>
      <c r="L99" s="13">
        <f t="shared" si="2"/>
        <v>332</v>
      </c>
    </row>
    <row r="100" spans="1:12" ht="26.4" x14ac:dyDescent="0.3">
      <c r="A100" s="9">
        <v>96</v>
      </c>
      <c r="B100" s="10" t="s">
        <v>79</v>
      </c>
      <c r="C100" s="10" t="s">
        <v>91</v>
      </c>
      <c r="D100" s="10" t="s">
        <v>302</v>
      </c>
      <c r="E100" s="10" t="s">
        <v>95</v>
      </c>
      <c r="F100" s="10" t="s">
        <v>203</v>
      </c>
      <c r="G100" s="10" t="s">
        <v>28</v>
      </c>
      <c r="H100" s="11">
        <v>0</v>
      </c>
      <c r="I100" s="12">
        <v>46097.708333333299</v>
      </c>
      <c r="J100" s="12">
        <v>46428.708333333299</v>
      </c>
      <c r="K100" s="10">
        <v>-268</v>
      </c>
      <c r="L100" s="13">
        <f t="shared" si="2"/>
        <v>331</v>
      </c>
    </row>
    <row r="101" spans="1:12" ht="26.4" x14ac:dyDescent="0.3">
      <c r="A101" s="9">
        <v>97</v>
      </c>
      <c r="B101" s="10" t="s">
        <v>79</v>
      </c>
      <c r="C101" s="10" t="s">
        <v>91</v>
      </c>
      <c r="D101" s="10" t="s">
        <v>303</v>
      </c>
      <c r="E101" s="10" t="s">
        <v>95</v>
      </c>
      <c r="F101" s="10" t="s">
        <v>203</v>
      </c>
      <c r="G101" s="10" t="s">
        <v>28</v>
      </c>
      <c r="H101" s="11">
        <v>0</v>
      </c>
      <c r="I101" s="12">
        <v>46006.708333333299</v>
      </c>
      <c r="J101" s="12">
        <v>46337.708333333299</v>
      </c>
      <c r="K101" s="10">
        <v>-272</v>
      </c>
      <c r="L101" s="13">
        <f t="shared" ref="L101:L137" si="3">J101-I101</f>
        <v>331</v>
      </c>
    </row>
    <row r="102" spans="1:12" ht="26.4" x14ac:dyDescent="0.3">
      <c r="A102" s="9">
        <v>98</v>
      </c>
      <c r="B102" s="10" t="s">
        <v>79</v>
      </c>
      <c r="C102" s="10" t="s">
        <v>91</v>
      </c>
      <c r="D102" s="10" t="s">
        <v>94</v>
      </c>
      <c r="E102" s="10" t="s">
        <v>95</v>
      </c>
      <c r="F102" s="10" t="s">
        <v>203</v>
      </c>
      <c r="G102" s="10" t="s">
        <v>78</v>
      </c>
      <c r="H102" s="11">
        <v>0.8</v>
      </c>
      <c r="I102" s="12">
        <v>46067.708333333299</v>
      </c>
      <c r="J102" s="12">
        <v>46398.708333333299</v>
      </c>
      <c r="K102" s="10">
        <v>-268</v>
      </c>
      <c r="L102" s="13">
        <f t="shared" si="3"/>
        <v>331</v>
      </c>
    </row>
    <row r="103" spans="1:12" ht="26.4" x14ac:dyDescent="0.3">
      <c r="A103" s="9">
        <v>99</v>
      </c>
      <c r="B103" s="10" t="s">
        <v>129</v>
      </c>
      <c r="C103" s="10" t="s">
        <v>245</v>
      </c>
      <c r="D103" s="10" t="s">
        <v>148</v>
      </c>
      <c r="E103" s="10" t="s">
        <v>139</v>
      </c>
      <c r="F103" s="10" t="s">
        <v>203</v>
      </c>
      <c r="G103" s="10" t="s">
        <v>28</v>
      </c>
      <c r="H103" s="11">
        <v>0</v>
      </c>
      <c r="I103" s="12">
        <v>46015.708333333299</v>
      </c>
      <c r="J103" s="12">
        <v>46342.708333333299</v>
      </c>
      <c r="K103" s="10">
        <v>-111</v>
      </c>
      <c r="L103" s="13">
        <f t="shared" si="3"/>
        <v>327</v>
      </c>
    </row>
    <row r="104" spans="1:12" ht="26.4" x14ac:dyDescent="0.3">
      <c r="A104" s="9">
        <v>100</v>
      </c>
      <c r="B104" s="10" t="s">
        <v>129</v>
      </c>
      <c r="C104" s="10" t="s">
        <v>247</v>
      </c>
      <c r="D104" s="10" t="s">
        <v>145</v>
      </c>
      <c r="E104" s="10" t="s">
        <v>135</v>
      </c>
      <c r="F104" s="10" t="s">
        <v>203</v>
      </c>
      <c r="G104" s="10" t="s">
        <v>28</v>
      </c>
      <c r="H104" s="11">
        <v>0</v>
      </c>
      <c r="I104" s="12">
        <v>46015.708333333299</v>
      </c>
      <c r="J104" s="12">
        <v>46342.708333333299</v>
      </c>
      <c r="K104" s="10">
        <v>-125</v>
      </c>
      <c r="L104" s="13">
        <f t="shared" si="3"/>
        <v>327</v>
      </c>
    </row>
    <row r="105" spans="1:12" ht="26.4" x14ac:dyDescent="0.3">
      <c r="A105" s="9">
        <v>101</v>
      </c>
      <c r="B105" s="10" t="s">
        <v>129</v>
      </c>
      <c r="C105" s="10" t="s">
        <v>243</v>
      </c>
      <c r="D105" s="10" t="s">
        <v>142</v>
      </c>
      <c r="E105" s="10" t="s">
        <v>131</v>
      </c>
      <c r="F105" s="10" t="s">
        <v>203</v>
      </c>
      <c r="G105" s="10" t="s">
        <v>28</v>
      </c>
      <c r="H105" s="11">
        <v>0</v>
      </c>
      <c r="I105" s="12">
        <v>46015.708333333299</v>
      </c>
      <c r="J105" s="12">
        <v>46342.708333333299</v>
      </c>
      <c r="K105" s="10">
        <v>-141</v>
      </c>
      <c r="L105" s="13">
        <f t="shared" si="3"/>
        <v>327</v>
      </c>
    </row>
    <row r="106" spans="1:12" ht="26.4" x14ac:dyDescent="0.3">
      <c r="A106" s="9">
        <v>102</v>
      </c>
      <c r="B106" s="10" t="s">
        <v>107</v>
      </c>
      <c r="C106" s="10" t="s">
        <v>304</v>
      </c>
      <c r="D106" s="10" t="s">
        <v>305</v>
      </c>
      <c r="E106" s="10" t="s">
        <v>306</v>
      </c>
      <c r="F106" s="10" t="s">
        <v>203</v>
      </c>
      <c r="G106" s="10" t="s">
        <v>78</v>
      </c>
      <c r="H106" s="11">
        <v>0.9</v>
      </c>
      <c r="I106" s="12">
        <v>46011.708333333299</v>
      </c>
      <c r="J106" s="12">
        <v>46330.708333333299</v>
      </c>
      <c r="K106" s="10">
        <v>-198</v>
      </c>
      <c r="L106" s="13">
        <f t="shared" si="3"/>
        <v>319</v>
      </c>
    </row>
    <row r="107" spans="1:12" ht="26.4" x14ac:dyDescent="0.3">
      <c r="A107" s="9">
        <v>103</v>
      </c>
      <c r="B107" s="10" t="s">
        <v>129</v>
      </c>
      <c r="C107" s="10" t="s">
        <v>245</v>
      </c>
      <c r="D107" s="10" t="s">
        <v>163</v>
      </c>
      <c r="E107" s="10" t="s">
        <v>139</v>
      </c>
      <c r="F107" s="10" t="s">
        <v>203</v>
      </c>
      <c r="G107" s="10" t="s">
        <v>28</v>
      </c>
      <c r="H107" s="11">
        <v>0</v>
      </c>
      <c r="I107" s="12">
        <v>46046.708333333299</v>
      </c>
      <c r="J107" s="12">
        <v>46342.708333333299</v>
      </c>
      <c r="K107" s="10">
        <v>-111</v>
      </c>
      <c r="L107" s="13">
        <f t="shared" si="3"/>
        <v>296</v>
      </c>
    </row>
    <row r="108" spans="1:12" ht="26.4" x14ac:dyDescent="0.3">
      <c r="A108" s="9">
        <v>104</v>
      </c>
      <c r="B108" s="10" t="s">
        <v>129</v>
      </c>
      <c r="C108" s="10" t="s">
        <v>243</v>
      </c>
      <c r="D108" s="10" t="s">
        <v>130</v>
      </c>
      <c r="E108" s="10" t="s">
        <v>131</v>
      </c>
      <c r="F108" s="10" t="s">
        <v>203</v>
      </c>
      <c r="G108" s="10" t="s">
        <v>28</v>
      </c>
      <c r="H108" s="11">
        <v>0</v>
      </c>
      <c r="I108" s="12">
        <v>46076.708333333299</v>
      </c>
      <c r="J108" s="12">
        <v>46372.708333333299</v>
      </c>
      <c r="K108" s="10">
        <v>-141</v>
      </c>
      <c r="L108" s="13">
        <f t="shared" si="3"/>
        <v>296</v>
      </c>
    </row>
    <row r="109" spans="1:12" ht="26.4" x14ac:dyDescent="0.3">
      <c r="A109" s="9">
        <v>105</v>
      </c>
      <c r="B109" s="10" t="s">
        <v>129</v>
      </c>
      <c r="C109" s="10" t="s">
        <v>247</v>
      </c>
      <c r="D109" s="10" t="s">
        <v>160</v>
      </c>
      <c r="E109" s="10" t="s">
        <v>135</v>
      </c>
      <c r="F109" s="10" t="s">
        <v>203</v>
      </c>
      <c r="G109" s="10" t="s">
        <v>28</v>
      </c>
      <c r="H109" s="11">
        <v>0</v>
      </c>
      <c r="I109" s="12">
        <v>46046.708333333299</v>
      </c>
      <c r="J109" s="12">
        <v>46342.708333333299</v>
      </c>
      <c r="K109" s="10">
        <v>-125</v>
      </c>
      <c r="L109" s="13">
        <f t="shared" si="3"/>
        <v>296</v>
      </c>
    </row>
    <row r="110" spans="1:12" ht="26.4" x14ac:dyDescent="0.3">
      <c r="A110" s="9">
        <v>106</v>
      </c>
      <c r="B110" s="10" t="s">
        <v>129</v>
      </c>
      <c r="C110" s="10" t="s">
        <v>247</v>
      </c>
      <c r="D110" s="10" t="s">
        <v>134</v>
      </c>
      <c r="E110" s="10" t="s">
        <v>135</v>
      </c>
      <c r="F110" s="10" t="s">
        <v>203</v>
      </c>
      <c r="G110" s="10" t="s">
        <v>28</v>
      </c>
      <c r="H110" s="11">
        <v>0</v>
      </c>
      <c r="I110" s="12">
        <v>46076.708333333299</v>
      </c>
      <c r="J110" s="12">
        <v>46372.708333333299</v>
      </c>
      <c r="K110" s="10">
        <v>-125</v>
      </c>
      <c r="L110" s="13">
        <f t="shared" si="3"/>
        <v>296</v>
      </c>
    </row>
    <row r="111" spans="1:12" ht="26.4" x14ac:dyDescent="0.3">
      <c r="A111" s="9">
        <v>107</v>
      </c>
      <c r="B111" s="10" t="s">
        <v>129</v>
      </c>
      <c r="C111" s="10" t="s">
        <v>245</v>
      </c>
      <c r="D111" s="10" t="s">
        <v>138</v>
      </c>
      <c r="E111" s="10" t="s">
        <v>139</v>
      </c>
      <c r="F111" s="10" t="s">
        <v>203</v>
      </c>
      <c r="G111" s="10" t="s">
        <v>28</v>
      </c>
      <c r="H111" s="11">
        <v>0</v>
      </c>
      <c r="I111" s="12">
        <v>46076.708333333299</v>
      </c>
      <c r="J111" s="12">
        <v>46372.708333333299</v>
      </c>
      <c r="K111" s="10">
        <v>-111</v>
      </c>
      <c r="L111" s="13">
        <f t="shared" si="3"/>
        <v>296</v>
      </c>
    </row>
    <row r="112" spans="1:12" ht="26.4" x14ac:dyDescent="0.3">
      <c r="A112" s="9">
        <v>108</v>
      </c>
      <c r="B112" s="10" t="s">
        <v>129</v>
      </c>
      <c r="C112" s="10" t="s">
        <v>243</v>
      </c>
      <c r="D112" s="10" t="s">
        <v>307</v>
      </c>
      <c r="E112" s="10" t="s">
        <v>131</v>
      </c>
      <c r="F112" s="10" t="s">
        <v>203</v>
      </c>
      <c r="G112" s="10" t="s">
        <v>28</v>
      </c>
      <c r="H112" s="11">
        <v>0</v>
      </c>
      <c r="I112" s="12">
        <v>46046.708333333299</v>
      </c>
      <c r="J112" s="12">
        <v>46342.708333333299</v>
      </c>
      <c r="K112" s="10">
        <v>-141</v>
      </c>
      <c r="L112" s="13">
        <f t="shared" si="3"/>
        <v>296</v>
      </c>
    </row>
    <row r="113" spans="1:12" ht="26.4" x14ac:dyDescent="0.3">
      <c r="A113" s="9">
        <v>109</v>
      </c>
      <c r="B113" s="10" t="s">
        <v>129</v>
      </c>
      <c r="C113" s="10" t="s">
        <v>245</v>
      </c>
      <c r="D113" s="10" t="s">
        <v>157</v>
      </c>
      <c r="E113" s="10" t="s">
        <v>139</v>
      </c>
      <c r="F113" s="10" t="s">
        <v>203</v>
      </c>
      <c r="G113" s="10" t="s">
        <v>28</v>
      </c>
      <c r="H113" s="11">
        <v>0</v>
      </c>
      <c r="I113" s="12">
        <v>46110.708333333299</v>
      </c>
      <c r="J113" s="12">
        <v>46403.708333333299</v>
      </c>
      <c r="K113" s="10">
        <v>-110</v>
      </c>
      <c r="L113" s="13">
        <f t="shared" si="3"/>
        <v>293</v>
      </c>
    </row>
    <row r="114" spans="1:12" ht="26.4" x14ac:dyDescent="0.3">
      <c r="A114" s="9">
        <v>110</v>
      </c>
      <c r="B114" s="10" t="s">
        <v>129</v>
      </c>
      <c r="C114" s="10" t="s">
        <v>243</v>
      </c>
      <c r="D114" s="10" t="s">
        <v>151</v>
      </c>
      <c r="E114" s="10" t="s">
        <v>131</v>
      </c>
      <c r="F114" s="10" t="s">
        <v>203</v>
      </c>
      <c r="G114" s="10" t="s">
        <v>28</v>
      </c>
      <c r="H114" s="11">
        <v>0</v>
      </c>
      <c r="I114" s="12">
        <v>46110.708333333299</v>
      </c>
      <c r="J114" s="12">
        <v>46403.708333333299</v>
      </c>
      <c r="K114" s="10">
        <v>-125</v>
      </c>
      <c r="L114" s="13">
        <f t="shared" si="3"/>
        <v>293</v>
      </c>
    </row>
    <row r="115" spans="1:12" ht="26.4" x14ac:dyDescent="0.3">
      <c r="A115" s="9">
        <v>111</v>
      </c>
      <c r="B115" s="10" t="s">
        <v>129</v>
      </c>
      <c r="C115" s="10" t="s">
        <v>247</v>
      </c>
      <c r="D115" s="10" t="s">
        <v>154</v>
      </c>
      <c r="E115" s="10" t="s">
        <v>135</v>
      </c>
      <c r="F115" s="10" t="s">
        <v>203</v>
      </c>
      <c r="G115" s="10" t="s">
        <v>28</v>
      </c>
      <c r="H115" s="11">
        <v>0</v>
      </c>
      <c r="I115" s="12">
        <v>46110.708333333299</v>
      </c>
      <c r="J115" s="12">
        <v>46403.708333333299</v>
      </c>
      <c r="K115" s="10">
        <v>-125</v>
      </c>
      <c r="L115" s="13">
        <f t="shared" si="3"/>
        <v>293</v>
      </c>
    </row>
    <row r="116" spans="1:12" ht="26.4" x14ac:dyDescent="0.3">
      <c r="A116" s="9">
        <v>112</v>
      </c>
      <c r="B116" s="10" t="s">
        <v>236</v>
      </c>
      <c r="C116" s="10" t="s">
        <v>237</v>
      </c>
      <c r="D116" s="10" t="s">
        <v>308</v>
      </c>
      <c r="E116" s="10" t="s">
        <v>309</v>
      </c>
      <c r="F116" s="10" t="s">
        <v>203</v>
      </c>
      <c r="G116" s="10" t="s">
        <v>28</v>
      </c>
      <c r="H116" s="11">
        <v>0</v>
      </c>
      <c r="I116" s="12">
        <v>46238.708333333299</v>
      </c>
      <c r="J116" s="12">
        <v>46530.708333333299</v>
      </c>
      <c r="K116" s="10">
        <v>-258</v>
      </c>
      <c r="L116" s="13">
        <f t="shared" si="3"/>
        <v>292</v>
      </c>
    </row>
    <row r="117" spans="1:12" ht="26.4" x14ac:dyDescent="0.3">
      <c r="A117" s="9">
        <v>113</v>
      </c>
      <c r="B117" s="10" t="s">
        <v>236</v>
      </c>
      <c r="C117" s="10" t="s">
        <v>240</v>
      </c>
      <c r="D117" s="10" t="s">
        <v>310</v>
      </c>
      <c r="E117" s="10" t="s">
        <v>311</v>
      </c>
      <c r="F117" s="10" t="s">
        <v>203</v>
      </c>
      <c r="G117" s="10" t="s">
        <v>28</v>
      </c>
      <c r="H117" s="11">
        <v>0</v>
      </c>
      <c r="I117" s="12">
        <v>46268.708333333299</v>
      </c>
      <c r="J117" s="12">
        <v>46560.708333333299</v>
      </c>
      <c r="K117" s="10">
        <v>-226</v>
      </c>
      <c r="L117" s="13">
        <f t="shared" si="3"/>
        <v>292</v>
      </c>
    </row>
    <row r="118" spans="1:12" ht="26.4" x14ac:dyDescent="0.3">
      <c r="A118" s="9">
        <v>114</v>
      </c>
      <c r="B118" s="10" t="s">
        <v>236</v>
      </c>
      <c r="C118" s="10" t="s">
        <v>240</v>
      </c>
      <c r="D118" s="10" t="s">
        <v>312</v>
      </c>
      <c r="E118" s="10" t="s">
        <v>311</v>
      </c>
      <c r="F118" s="10" t="s">
        <v>203</v>
      </c>
      <c r="G118" s="10" t="s">
        <v>28</v>
      </c>
      <c r="H118" s="11">
        <v>0</v>
      </c>
      <c r="I118" s="12">
        <v>46238.708333333299</v>
      </c>
      <c r="J118" s="12">
        <v>46530.708333333299</v>
      </c>
      <c r="K118" s="10">
        <v>-227</v>
      </c>
      <c r="L118" s="13">
        <f t="shared" si="3"/>
        <v>292</v>
      </c>
    </row>
    <row r="119" spans="1:12" ht="26.4" x14ac:dyDescent="0.3">
      <c r="A119" s="9">
        <v>115</v>
      </c>
      <c r="B119" s="10" t="s">
        <v>236</v>
      </c>
      <c r="C119" s="10" t="s">
        <v>237</v>
      </c>
      <c r="D119" s="10" t="s">
        <v>313</v>
      </c>
      <c r="E119" s="10" t="s">
        <v>309</v>
      </c>
      <c r="F119" s="10" t="s">
        <v>203</v>
      </c>
      <c r="G119" s="10" t="s">
        <v>28</v>
      </c>
      <c r="H119" s="11">
        <v>0</v>
      </c>
      <c r="I119" s="12">
        <v>46268.708333333299</v>
      </c>
      <c r="J119" s="12">
        <v>46560.708333333299</v>
      </c>
      <c r="K119" s="10">
        <v>-257</v>
      </c>
      <c r="L119" s="13">
        <f t="shared" si="3"/>
        <v>292</v>
      </c>
    </row>
    <row r="120" spans="1:12" ht="26.4" x14ac:dyDescent="0.3">
      <c r="A120" s="9">
        <v>116</v>
      </c>
      <c r="B120" s="10" t="s">
        <v>236</v>
      </c>
      <c r="C120" s="10" t="s">
        <v>237</v>
      </c>
      <c r="D120" s="10" t="s">
        <v>314</v>
      </c>
      <c r="E120" s="10" t="s">
        <v>309</v>
      </c>
      <c r="F120" s="10" t="s">
        <v>203</v>
      </c>
      <c r="G120" s="10" t="s">
        <v>28</v>
      </c>
      <c r="H120" s="11">
        <v>0</v>
      </c>
      <c r="I120" s="12">
        <v>46300.708333333299</v>
      </c>
      <c r="J120" s="12">
        <v>46590.708333333299</v>
      </c>
      <c r="K120" s="10">
        <v>-256</v>
      </c>
      <c r="L120" s="13">
        <f t="shared" si="3"/>
        <v>290</v>
      </c>
    </row>
    <row r="121" spans="1:12" ht="26.4" x14ac:dyDescent="0.3">
      <c r="A121" s="9">
        <v>117</v>
      </c>
      <c r="B121" s="10" t="s">
        <v>236</v>
      </c>
      <c r="C121" s="10" t="s">
        <v>240</v>
      </c>
      <c r="D121" s="10" t="s">
        <v>315</v>
      </c>
      <c r="E121" s="10" t="s">
        <v>311</v>
      </c>
      <c r="F121" s="10" t="s">
        <v>203</v>
      </c>
      <c r="G121" s="10" t="s">
        <v>28</v>
      </c>
      <c r="H121" s="11">
        <v>0</v>
      </c>
      <c r="I121" s="12">
        <v>46078.708333333299</v>
      </c>
      <c r="J121" s="12">
        <v>46368.708333333299</v>
      </c>
      <c r="K121" s="10">
        <v>-252</v>
      </c>
      <c r="L121" s="13">
        <f t="shared" si="3"/>
        <v>290</v>
      </c>
    </row>
    <row r="122" spans="1:12" ht="26.4" x14ac:dyDescent="0.3">
      <c r="A122" s="9">
        <v>118</v>
      </c>
      <c r="B122" s="10" t="s">
        <v>236</v>
      </c>
      <c r="C122" s="10" t="s">
        <v>237</v>
      </c>
      <c r="D122" s="10" t="s">
        <v>316</v>
      </c>
      <c r="E122" s="10" t="s">
        <v>309</v>
      </c>
      <c r="F122" s="10" t="s">
        <v>203</v>
      </c>
      <c r="G122" s="10" t="s">
        <v>28</v>
      </c>
      <c r="H122" s="11">
        <v>0</v>
      </c>
      <c r="I122" s="12">
        <v>46078.708333333299</v>
      </c>
      <c r="J122" s="12">
        <v>46368.708333333299</v>
      </c>
      <c r="K122" s="10">
        <v>-252</v>
      </c>
      <c r="L122" s="13">
        <f t="shared" si="3"/>
        <v>290</v>
      </c>
    </row>
    <row r="123" spans="1:12" ht="26.4" x14ac:dyDescent="0.3">
      <c r="A123" s="9">
        <v>119</v>
      </c>
      <c r="B123" s="10" t="s">
        <v>236</v>
      </c>
      <c r="C123" s="10" t="s">
        <v>240</v>
      </c>
      <c r="D123" s="10" t="s">
        <v>317</v>
      </c>
      <c r="E123" s="10" t="s">
        <v>311</v>
      </c>
      <c r="F123" s="10" t="s">
        <v>203</v>
      </c>
      <c r="G123" s="10" t="s">
        <v>28</v>
      </c>
      <c r="H123" s="11">
        <v>0</v>
      </c>
      <c r="I123" s="12">
        <v>46048.708333333299</v>
      </c>
      <c r="J123" s="12">
        <v>46337.708333333299</v>
      </c>
      <c r="K123" s="10">
        <v>-255</v>
      </c>
      <c r="L123" s="13">
        <f t="shared" si="3"/>
        <v>289</v>
      </c>
    </row>
    <row r="124" spans="1:12" ht="26.4" x14ac:dyDescent="0.3">
      <c r="A124" s="9">
        <v>120</v>
      </c>
      <c r="B124" s="10" t="s">
        <v>236</v>
      </c>
      <c r="C124" s="10" t="s">
        <v>240</v>
      </c>
      <c r="D124" s="10" t="s">
        <v>318</v>
      </c>
      <c r="E124" s="10" t="s">
        <v>311</v>
      </c>
      <c r="F124" s="10" t="s">
        <v>203</v>
      </c>
      <c r="G124" s="10" t="s">
        <v>28</v>
      </c>
      <c r="H124" s="11">
        <v>0</v>
      </c>
      <c r="I124" s="12">
        <v>46142.708333333299</v>
      </c>
      <c r="J124" s="12">
        <v>46428.708333333299</v>
      </c>
      <c r="K124" s="10">
        <v>-217</v>
      </c>
      <c r="L124" s="13">
        <f t="shared" si="3"/>
        <v>286</v>
      </c>
    </row>
    <row r="125" spans="1:12" ht="26.4" x14ac:dyDescent="0.3">
      <c r="A125" s="9">
        <v>121</v>
      </c>
      <c r="B125" s="10" t="s">
        <v>236</v>
      </c>
      <c r="C125" s="10" t="s">
        <v>240</v>
      </c>
      <c r="D125" s="10" t="s">
        <v>319</v>
      </c>
      <c r="E125" s="10" t="s">
        <v>311</v>
      </c>
      <c r="F125" s="10" t="s">
        <v>203</v>
      </c>
      <c r="G125" s="10" t="s">
        <v>28</v>
      </c>
      <c r="H125" s="11">
        <v>0</v>
      </c>
      <c r="I125" s="12">
        <v>46208.708333333299</v>
      </c>
      <c r="J125" s="12">
        <v>46494.708333333299</v>
      </c>
      <c r="K125" s="10">
        <v>-222</v>
      </c>
      <c r="L125" s="13">
        <f t="shared" si="3"/>
        <v>286</v>
      </c>
    </row>
    <row r="126" spans="1:12" ht="26.4" x14ac:dyDescent="0.3">
      <c r="A126" s="9">
        <v>122</v>
      </c>
      <c r="B126" s="10" t="s">
        <v>236</v>
      </c>
      <c r="C126" s="10" t="s">
        <v>237</v>
      </c>
      <c r="D126" s="10" t="s">
        <v>320</v>
      </c>
      <c r="E126" s="10" t="s">
        <v>309</v>
      </c>
      <c r="F126" s="10" t="s">
        <v>203</v>
      </c>
      <c r="G126" s="10" t="s">
        <v>28</v>
      </c>
      <c r="H126" s="11">
        <v>0</v>
      </c>
      <c r="I126" s="12">
        <v>46177.708333333299</v>
      </c>
      <c r="J126" s="12">
        <v>46463.708333333299</v>
      </c>
      <c r="K126" s="10">
        <v>-252</v>
      </c>
      <c r="L126" s="13">
        <f t="shared" si="3"/>
        <v>286</v>
      </c>
    </row>
    <row r="127" spans="1:12" ht="26.4" x14ac:dyDescent="0.3">
      <c r="A127" s="9">
        <v>123</v>
      </c>
      <c r="B127" s="10" t="s">
        <v>236</v>
      </c>
      <c r="C127" s="10" t="s">
        <v>237</v>
      </c>
      <c r="D127" s="10" t="s">
        <v>321</v>
      </c>
      <c r="E127" s="10" t="s">
        <v>309</v>
      </c>
      <c r="F127" s="10" t="s">
        <v>203</v>
      </c>
      <c r="G127" s="10" t="s">
        <v>28</v>
      </c>
      <c r="H127" s="11">
        <v>0</v>
      </c>
      <c r="I127" s="12">
        <v>46112.708333333299</v>
      </c>
      <c r="J127" s="12">
        <v>46398.708333333299</v>
      </c>
      <c r="K127" s="10">
        <v>-252</v>
      </c>
      <c r="L127" s="13">
        <f t="shared" si="3"/>
        <v>286</v>
      </c>
    </row>
    <row r="128" spans="1:12" ht="26.4" x14ac:dyDescent="0.3">
      <c r="A128" s="9">
        <v>124</v>
      </c>
      <c r="B128" s="10" t="s">
        <v>236</v>
      </c>
      <c r="C128" s="10" t="s">
        <v>237</v>
      </c>
      <c r="D128" s="10" t="s">
        <v>322</v>
      </c>
      <c r="E128" s="10" t="s">
        <v>309</v>
      </c>
      <c r="F128" s="10" t="s">
        <v>203</v>
      </c>
      <c r="G128" s="10" t="s">
        <v>28</v>
      </c>
      <c r="H128" s="11">
        <v>0</v>
      </c>
      <c r="I128" s="12">
        <v>46142.708333333299</v>
      </c>
      <c r="J128" s="12">
        <v>46428.708333333299</v>
      </c>
      <c r="K128" s="10">
        <v>-247</v>
      </c>
      <c r="L128" s="13">
        <f t="shared" si="3"/>
        <v>286</v>
      </c>
    </row>
    <row r="129" spans="1:12" ht="26.4" x14ac:dyDescent="0.3">
      <c r="A129" s="9">
        <v>125</v>
      </c>
      <c r="B129" s="10" t="s">
        <v>236</v>
      </c>
      <c r="C129" s="10" t="s">
        <v>240</v>
      </c>
      <c r="D129" s="10" t="s">
        <v>323</v>
      </c>
      <c r="E129" s="10" t="s">
        <v>311</v>
      </c>
      <c r="F129" s="10" t="s">
        <v>203</v>
      </c>
      <c r="G129" s="10" t="s">
        <v>28</v>
      </c>
      <c r="H129" s="11">
        <v>0</v>
      </c>
      <c r="I129" s="12">
        <v>46112.708333333299</v>
      </c>
      <c r="J129" s="12">
        <v>46398.708333333299</v>
      </c>
      <c r="K129" s="10">
        <v>-217</v>
      </c>
      <c r="L129" s="13">
        <f t="shared" si="3"/>
        <v>286</v>
      </c>
    </row>
    <row r="130" spans="1:12" ht="26.4" x14ac:dyDescent="0.3">
      <c r="A130" s="9">
        <v>126</v>
      </c>
      <c r="B130" s="10" t="s">
        <v>236</v>
      </c>
      <c r="C130" s="10" t="s">
        <v>237</v>
      </c>
      <c r="D130" s="10" t="s">
        <v>324</v>
      </c>
      <c r="E130" s="10" t="s">
        <v>309</v>
      </c>
      <c r="F130" s="10" t="s">
        <v>203</v>
      </c>
      <c r="G130" s="10" t="s">
        <v>28</v>
      </c>
      <c r="H130" s="11">
        <v>0</v>
      </c>
      <c r="I130" s="12">
        <v>46208.708333333299</v>
      </c>
      <c r="J130" s="12">
        <v>46494.708333333299</v>
      </c>
      <c r="K130" s="10">
        <v>-252</v>
      </c>
      <c r="L130" s="13">
        <f t="shared" si="3"/>
        <v>286</v>
      </c>
    </row>
    <row r="131" spans="1:12" ht="26.4" x14ac:dyDescent="0.3">
      <c r="A131" s="9">
        <v>127</v>
      </c>
      <c r="B131" s="10" t="s">
        <v>236</v>
      </c>
      <c r="C131" s="10" t="s">
        <v>240</v>
      </c>
      <c r="D131" s="10" t="s">
        <v>325</v>
      </c>
      <c r="E131" s="10" t="s">
        <v>311</v>
      </c>
      <c r="F131" s="10" t="s">
        <v>203</v>
      </c>
      <c r="G131" s="10" t="s">
        <v>28</v>
      </c>
      <c r="H131" s="11">
        <v>0</v>
      </c>
      <c r="I131" s="12">
        <v>46177.708333333299</v>
      </c>
      <c r="J131" s="12">
        <v>46463.708333333299</v>
      </c>
      <c r="K131" s="10">
        <v>-221</v>
      </c>
      <c r="L131" s="13">
        <f t="shared" si="3"/>
        <v>286</v>
      </c>
    </row>
    <row r="132" spans="1:12" ht="26.4" x14ac:dyDescent="0.3">
      <c r="A132" s="9">
        <v>128</v>
      </c>
      <c r="B132" s="10" t="s">
        <v>326</v>
      </c>
      <c r="C132" s="10" t="s">
        <v>327</v>
      </c>
      <c r="D132" s="10" t="s">
        <v>328</v>
      </c>
      <c r="E132" s="10" t="s">
        <v>329</v>
      </c>
      <c r="F132" s="10" t="s">
        <v>203</v>
      </c>
      <c r="G132" s="10" t="s">
        <v>78</v>
      </c>
      <c r="H132" s="11">
        <v>0.3</v>
      </c>
      <c r="I132" s="12">
        <v>46265.708333333299</v>
      </c>
      <c r="J132" s="12">
        <v>46515.708333333299</v>
      </c>
      <c r="K132" s="10">
        <v>-206</v>
      </c>
      <c r="L132" s="13">
        <f t="shared" si="3"/>
        <v>250</v>
      </c>
    </row>
    <row r="133" spans="1:12" ht="26.4" x14ac:dyDescent="0.3">
      <c r="A133" s="9">
        <v>129</v>
      </c>
      <c r="B133" s="10" t="s">
        <v>66</v>
      </c>
      <c r="C133" s="10" t="s">
        <v>330</v>
      </c>
      <c r="D133" s="10" t="s">
        <v>331</v>
      </c>
      <c r="E133" s="10" t="s">
        <v>332</v>
      </c>
      <c r="F133" s="10" t="s">
        <v>203</v>
      </c>
      <c r="G133" s="10" t="s">
        <v>28</v>
      </c>
      <c r="H133" s="11">
        <v>0</v>
      </c>
      <c r="I133" s="12">
        <v>46207.708333333299</v>
      </c>
      <c r="J133" s="12">
        <v>46453.708333333299</v>
      </c>
      <c r="K133" s="10">
        <v>-203</v>
      </c>
      <c r="L133" s="13">
        <f t="shared" si="3"/>
        <v>246</v>
      </c>
    </row>
    <row r="134" spans="1:12" ht="26.4" x14ac:dyDescent="0.3">
      <c r="A134" s="9">
        <v>130</v>
      </c>
      <c r="B134" s="10" t="s">
        <v>236</v>
      </c>
      <c r="C134" s="10" t="s">
        <v>333</v>
      </c>
      <c r="D134" s="10" t="s">
        <v>334</v>
      </c>
      <c r="E134" s="10" t="s">
        <v>335</v>
      </c>
      <c r="F134" s="10" t="s">
        <v>203</v>
      </c>
      <c r="G134" s="10" t="s">
        <v>28</v>
      </c>
      <c r="H134" s="11">
        <v>0</v>
      </c>
      <c r="I134" s="12">
        <v>46112.708333333299</v>
      </c>
      <c r="J134" s="12">
        <v>46337.708333333299</v>
      </c>
      <c r="K134" s="10">
        <v>-57</v>
      </c>
      <c r="L134" s="13">
        <f t="shared" si="3"/>
        <v>225</v>
      </c>
    </row>
    <row r="135" spans="1:12" ht="26.4" x14ac:dyDescent="0.3">
      <c r="A135" s="9">
        <v>131</v>
      </c>
      <c r="B135" s="10" t="s">
        <v>236</v>
      </c>
      <c r="C135" s="10" t="s">
        <v>336</v>
      </c>
      <c r="D135" s="10" t="s">
        <v>337</v>
      </c>
      <c r="E135" s="10" t="s">
        <v>338</v>
      </c>
      <c r="F135" s="10" t="s">
        <v>203</v>
      </c>
      <c r="G135" s="10" t="s">
        <v>28</v>
      </c>
      <c r="H135" s="11">
        <v>0</v>
      </c>
      <c r="I135" s="12">
        <v>46142.708333333299</v>
      </c>
      <c r="J135" s="12">
        <v>46337.708333333299</v>
      </c>
      <c r="K135" s="10">
        <v>-95</v>
      </c>
      <c r="L135" s="13">
        <f t="shared" si="3"/>
        <v>195</v>
      </c>
    </row>
    <row r="136" spans="1:12" ht="26.4" x14ac:dyDescent="0.3">
      <c r="A136" s="9">
        <v>132</v>
      </c>
      <c r="B136" s="10" t="s">
        <v>236</v>
      </c>
      <c r="C136" s="10" t="s">
        <v>333</v>
      </c>
      <c r="D136" s="10" t="s">
        <v>339</v>
      </c>
      <c r="E136" s="10" t="s">
        <v>335</v>
      </c>
      <c r="F136" s="10" t="s">
        <v>203</v>
      </c>
      <c r="G136" s="10" t="s">
        <v>28</v>
      </c>
      <c r="H136" s="11">
        <v>0</v>
      </c>
      <c r="I136" s="12">
        <v>46177.708333333299</v>
      </c>
      <c r="J136" s="12">
        <v>46368.708333333299</v>
      </c>
      <c r="K136" s="10">
        <v>-56</v>
      </c>
      <c r="L136" s="13">
        <f t="shared" si="3"/>
        <v>191</v>
      </c>
    </row>
    <row r="137" spans="1:12" ht="26.4" x14ac:dyDescent="0.3">
      <c r="A137" s="9">
        <v>133</v>
      </c>
      <c r="B137" s="10" t="s">
        <v>236</v>
      </c>
      <c r="C137" s="10" t="s">
        <v>336</v>
      </c>
      <c r="D137" s="10" t="s">
        <v>340</v>
      </c>
      <c r="E137" s="10" t="s">
        <v>338</v>
      </c>
      <c r="F137" s="10" t="s">
        <v>203</v>
      </c>
      <c r="G137" s="10" t="s">
        <v>28</v>
      </c>
      <c r="H137" s="11">
        <v>0</v>
      </c>
      <c r="I137" s="12">
        <v>46208.708333333299</v>
      </c>
      <c r="J137" s="12">
        <v>46368.708333333299</v>
      </c>
      <c r="K137" s="10">
        <v>-96</v>
      </c>
      <c r="L137" s="13">
        <f t="shared" si="3"/>
        <v>160</v>
      </c>
    </row>
  </sheetData>
  <autoFilter ref="A4:L137" xr:uid="{00000000-0009-0000-0000-000003000000}"/>
  <conditionalFormatting sqref="L5:L137">
    <cfRule type="colorScale" priority="2">
      <colorScale>
        <cfvo type="min"/>
        <cfvo type="max"/>
        <color rgb="FFFFF4CC"/>
        <color rgb="FFE06666"/>
      </colorScale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الملخص</vt:lpstr>
      <vt:lpstr>1 تعارض التوريد</vt:lpstr>
      <vt:lpstr>2 أعمال قبل التوريد</vt:lpstr>
      <vt:lpstr>3 المواد المتأخرة في التوريد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Mostafa A. El-Shekh (Contractor)</cp:lastModifiedBy>
  <cp:revision>0</cp:revision>
  <dcterms:created xsi:type="dcterms:W3CDTF">2026-10-12T08:07:48Z</dcterms:created>
  <dcterms:modified xsi:type="dcterms:W3CDTF">2026-10-13T05:44:13Z</dcterms:modified>
  <dc:language>en-US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ecloreClassification">
    <vt:lpwstr>{"Modon Production PolicyServer":{"ClassificationDisplayName":"Confidential","ClassificationMode":"ClassificationMode_UserDriven","LabelId":"4","Version":"1"}}</vt:lpwstr>
  </property>
  <property fmtid="{D5CDD505-2E9C-101B-9397-08002B2CF9AE}" pid="3" name="SecloreClassificationDisplayName">
    <vt:lpwstr>Confidential</vt:lpwstr>
  </property>
  <property fmtid="{D5CDD505-2E9C-101B-9397-08002B2CF9AE}" pid="4" name="SecloreClassificationFooterTextValue">
    <vt:lpwstr>Confidential | مقيد</vt:lpwstr>
  </property>
  <property fmtid="{D5CDD505-2E9C-101B-9397-08002B2CF9AE}" pid="5" name="SecloreClassificationFooterColorHex">
    <vt:lpwstr>#f0c231</vt:lpwstr>
  </property>
  <property fmtid="{D5CDD505-2E9C-101B-9397-08002B2CF9AE}" pid="6" name="SecloreClassificationFooterFontSize">
    <vt:lpwstr>12</vt:lpwstr>
  </property>
  <property fmtid="{D5CDD505-2E9C-101B-9397-08002B2CF9AE}" pid="7" name="SecloreClassificationFooterAlignment">
    <vt:lpwstr>Left</vt:lpwstr>
  </property>
</Properties>
</file>