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7C7559-3393-4363-8E76-816B38F003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ملخص البنود" sheetId="1" r:id="rId1"/>
    <sheet name="تفاصيل الكميات" sheetId="2" r:id="rId2"/>
  </sheets>
  <definedNames>
    <definedName name="_xlnm._FilterDatabase" localSheetId="1" hidden="1">'تفاصيل الكميات'!$A$1:$K$35</definedName>
    <definedName name="_xlnm._FilterDatabase" localSheetId="0" hidden="1">'ملخص البنود'!$A$4:$U$45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5" i="1"/>
  <c r="T25" i="1"/>
  <c r="U25" i="1" s="1"/>
  <c r="U38" i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4" i="1"/>
  <c r="U24" i="1" s="1"/>
  <c r="T28" i="1"/>
  <c r="U28" i="1" s="1"/>
  <c r="T30" i="1"/>
  <c r="U30" i="1" s="1"/>
  <c r="T31" i="1"/>
  <c r="U31" i="1" s="1"/>
  <c r="T33" i="1"/>
  <c r="U33" i="1" s="1"/>
  <c r="T38" i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8" i="1"/>
  <c r="T9" i="1"/>
  <c r="T10" i="1"/>
  <c r="T6" i="1"/>
  <c r="T5" i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J29" i="2"/>
  <c r="I29" i="2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J15" i="2"/>
  <c r="I15" i="2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I7" i="2"/>
  <c r="J7" i="2" s="1"/>
  <c r="I6" i="2"/>
  <c r="J6" i="2" s="1"/>
  <c r="I5" i="2"/>
  <c r="J5" i="2" s="1"/>
  <c r="I4" i="2"/>
  <c r="I3" i="2"/>
  <c r="J3" i="2" s="1"/>
  <c r="I2" i="2"/>
  <c r="J2" i="2" s="1"/>
  <c r="J45" i="1"/>
  <c r="J44" i="1"/>
  <c r="J43" i="1"/>
  <c r="J42" i="1"/>
  <c r="J41" i="1"/>
  <c r="J40" i="1"/>
  <c r="J39" i="1"/>
  <c r="J38" i="1"/>
  <c r="S37" i="1"/>
  <c r="R37" i="1"/>
  <c r="J37" i="1"/>
  <c r="S36" i="1"/>
  <c r="R36" i="1"/>
  <c r="J36" i="1"/>
  <c r="S35" i="1"/>
  <c r="R35" i="1"/>
  <c r="J35" i="1"/>
  <c r="S34" i="1"/>
  <c r="R34" i="1"/>
  <c r="J34" i="1"/>
  <c r="J33" i="1"/>
  <c r="S32" i="1"/>
  <c r="R32" i="1"/>
  <c r="U32" i="1" s="1"/>
  <c r="J32" i="1"/>
  <c r="J31" i="1"/>
  <c r="J30" i="1"/>
  <c r="S29" i="1"/>
  <c r="R29" i="1"/>
  <c r="J29" i="1"/>
  <c r="J28" i="1"/>
  <c r="S27" i="1"/>
  <c r="R27" i="1"/>
  <c r="J27" i="1"/>
  <c r="S26" i="1"/>
  <c r="R26" i="1"/>
  <c r="J26" i="1"/>
  <c r="J24" i="1"/>
  <c r="S23" i="1"/>
  <c r="R23" i="1"/>
  <c r="J23" i="1"/>
  <c r="S22" i="1"/>
  <c r="R22" i="1"/>
  <c r="J22" i="1"/>
  <c r="J21" i="1"/>
  <c r="J20" i="1"/>
  <c r="J19" i="1"/>
  <c r="J18" i="1"/>
  <c r="J17" i="1"/>
  <c r="J16" i="1"/>
  <c r="J15" i="1"/>
  <c r="J14" i="1"/>
  <c r="S13" i="1"/>
  <c r="R13" i="1"/>
  <c r="J13" i="1"/>
  <c r="S12" i="1"/>
  <c r="R12" i="1"/>
  <c r="J12" i="1"/>
  <c r="S11" i="1"/>
  <c r="R11" i="1"/>
  <c r="J11" i="1"/>
  <c r="J10" i="1"/>
  <c r="J9" i="1"/>
  <c r="J8" i="1"/>
  <c r="S7" i="1"/>
  <c r="R7" i="1"/>
  <c r="T7" i="1" s="1"/>
  <c r="U7" i="1" s="1"/>
  <c r="J7" i="1"/>
  <c r="J6" i="1"/>
  <c r="J5" i="1"/>
  <c r="T11" i="1" l="1"/>
  <c r="U11" i="1" s="1"/>
  <c r="T35" i="1"/>
  <c r="U35" i="1" s="1"/>
  <c r="T23" i="1"/>
  <c r="U23" i="1" s="1"/>
  <c r="T12" i="1"/>
  <c r="U12" i="1" s="1"/>
  <c r="T37" i="1"/>
  <c r="U37" i="1"/>
  <c r="T36" i="1"/>
  <c r="U36" i="1" s="1"/>
  <c r="T34" i="1"/>
  <c r="U34" i="1"/>
  <c r="T29" i="1"/>
  <c r="U29" i="1"/>
  <c r="T27" i="1"/>
  <c r="U27" i="1"/>
  <c r="T26" i="1"/>
  <c r="U26" i="1" s="1"/>
  <c r="T22" i="1"/>
  <c r="U22" i="1"/>
  <c r="T13" i="1"/>
  <c r="U13" i="1"/>
  <c r="T32" i="1"/>
  <c r="J22" i="2"/>
  <c r="J8" i="2"/>
  <c r="J4" i="2"/>
</calcChain>
</file>

<file path=xl/sharedStrings.xml><?xml version="1.0" encoding="utf-8"?>
<sst xmlns="http://schemas.openxmlformats.org/spreadsheetml/2006/main" count="552" uniqueCount="192">
  <si>
    <t>#</t>
  </si>
  <si>
    <t>الشبكة / المنشأ</t>
  </si>
  <si>
    <t xml:space="preserve">البند </t>
  </si>
  <si>
    <t>تقديم المواد</t>
  </si>
  <si>
    <t>اعتماد المواد</t>
  </si>
  <si>
    <t>أمر الشراء</t>
  </si>
  <si>
    <t>التصنيع</t>
  </si>
  <si>
    <t>أول توريد</t>
  </si>
  <si>
    <t>التوريد والفحص</t>
  </si>
  <si>
    <t>أقصى تأخير (يوم)</t>
  </si>
  <si>
    <t>أول مرحلة متأخرة</t>
  </si>
  <si>
    <t>حالة البند</t>
  </si>
  <si>
    <t>انتهاء التوريد في خط الاساس</t>
  </si>
  <si>
    <t>انتهاء التوريد المتوقع</t>
  </si>
  <si>
    <t xml:space="preserve">افادة المقاول </t>
  </si>
  <si>
    <t>الوحدة</t>
  </si>
  <si>
    <t>الكمية الإجمالية</t>
  </si>
  <si>
    <t>الكمية الموردة فعلياً</t>
  </si>
  <si>
    <t>المتبقي (فعلي)</t>
  </si>
  <si>
    <t>نسبة التوريد</t>
  </si>
  <si>
    <t>الزراعة والتنسيق</t>
  </si>
  <si>
    <t>Site Furnishings — Softscape and Landscape</t>
  </si>
  <si>
    <t>مكتمل</t>
  </si>
  <si>
    <t>لم يبدأ</t>
  </si>
  <si>
    <t>سيتم الالتزام بالتوريد خلال الموعد المحدد - فبراير 2027</t>
  </si>
  <si>
    <t>Softscape and Planting — Softscape and Landscape</t>
  </si>
  <si>
    <t>السور</t>
  </si>
  <si>
    <t>Civil Works — Fence</t>
  </si>
  <si>
    <t>—</t>
  </si>
  <si>
    <t>جارٍ</t>
  </si>
  <si>
    <t>جاري التوريد نسبة الإنجاز 30 % ، متوقع الانتهاء مع نهاية ديسمبر 2026</t>
  </si>
  <si>
    <t>م3</t>
  </si>
  <si>
    <t>خزان المياه المعالجة (TSE)</t>
  </si>
  <si>
    <t>Civil Works — Storage Tank (TSE)</t>
  </si>
  <si>
    <t>المواد معتمدة ، التوريد في منتصف نوفمبر</t>
  </si>
  <si>
    <t>Electromechanical Works — Storage Tank (TSE)</t>
  </si>
  <si>
    <t>شبكة إنارة الشوارع</t>
  </si>
  <si>
    <t>Distrubution Panel Boards — Street Lighting Network</t>
  </si>
  <si>
    <t xml:space="preserve">تم الدفع ، والتوريد خلال نوفمبر </t>
  </si>
  <si>
    <t>Lighting Cables — Street Lighting Network</t>
  </si>
  <si>
    <t xml:space="preserve"> تم اصدار امر الشراء ، والتوريد خلال نوفمبر </t>
  </si>
  <si>
    <t>عدد</t>
  </si>
  <si>
    <t>Lighting Fixtures — Street Lighting Network</t>
  </si>
  <si>
    <t>Lighting Poles — Street Lighting Network</t>
  </si>
  <si>
    <t>Lighting Poles Foundations — Street Lighting Network</t>
  </si>
  <si>
    <t>Cable Lugs — Street Lighting Network</t>
  </si>
  <si>
    <t>Fuse Boxes — Street Lighting Network</t>
  </si>
  <si>
    <t>Lighting Earthing — Street Lighting Network</t>
  </si>
  <si>
    <t>شبكة الاتصالات</t>
  </si>
  <si>
    <t>Ducts — Telecom Network</t>
  </si>
  <si>
    <t xml:space="preserve">بعد صرف المستخلص </t>
  </si>
  <si>
    <t>Manholes — Telecom Network</t>
  </si>
  <si>
    <t>شبكة الجهد المتوسط</t>
  </si>
  <si>
    <t>Medium Voltage Cables — Medium Voltage Network</t>
  </si>
  <si>
    <t>سيتم تقديم RFI</t>
  </si>
  <si>
    <t>Termination and Joints Kits — Medium Voltage Network</t>
  </si>
  <si>
    <t>شبكة الري</t>
  </si>
  <si>
    <t>Valves — Irrigation Network</t>
  </si>
  <si>
    <t xml:space="preserve">سيتم التوريد في الموعد المحدد </t>
  </si>
  <si>
    <t>Main Line Pipes — Irrigation Network</t>
  </si>
  <si>
    <t>جديد (بدون BL)</t>
  </si>
  <si>
    <t>متر</t>
  </si>
  <si>
    <t>شبكة الصرف الصحي</t>
  </si>
  <si>
    <t>Manhole Covers — Sewage Network</t>
  </si>
  <si>
    <t>Manholes — Sewage Network</t>
  </si>
  <si>
    <t>تم توريد حديد التسليح وجاري الصب في الموقع</t>
  </si>
  <si>
    <t>شبكة المياه المعالجة (TSE)</t>
  </si>
  <si>
    <t>Main Line Pipes — Treated Sewage Effluent (Tse)</t>
  </si>
  <si>
    <t>Valves — Treated Sewage Effluent (Tse)</t>
  </si>
  <si>
    <t>شبكة تصريف السيول</t>
  </si>
  <si>
    <t>Manholes — Storm Drainage Network</t>
  </si>
  <si>
    <t>Catch Basin Covers — Storm Drainage Network</t>
  </si>
  <si>
    <t>تم توريد اكثر من 80 % ، إتمام التوريد خلال الشهر الجاري</t>
  </si>
  <si>
    <t>Catch Basin Pipes — Storm Drainage Network</t>
  </si>
  <si>
    <t>منتهي</t>
  </si>
  <si>
    <t xml:space="preserve">تم التوريد بالكامل </t>
  </si>
  <si>
    <t>Catch Basins — Storm Drainage Network</t>
  </si>
  <si>
    <t>جاري التصنيع ،، وسيتم بدء التوريد خلال  الأسبوع القادم ،، نهاية التوريد منتصف نوفمبر</t>
  </si>
  <si>
    <t>Manhole Covers — Storm Drainage Network</t>
  </si>
  <si>
    <t xml:space="preserve">سيتم التوريد في الموعد المحدد ، تم اصدار امر الشراء المورد مسبك الرياض </t>
  </si>
  <si>
    <t>Main Line Pipes — Storm Drainage Network</t>
  </si>
  <si>
    <t xml:space="preserve">تم التوريد 80 % ، اكتمال التوريد نهاية شهر أكتوبر </t>
  </si>
  <si>
    <t>شبكة مياه الشرب</t>
  </si>
  <si>
    <t>Fire Hydrants — Potable Water Network</t>
  </si>
  <si>
    <t>Surface Box — Potable Water Network</t>
  </si>
  <si>
    <t>Valves — Potable Water Network</t>
  </si>
  <si>
    <t xml:space="preserve">سيتم التوريد منتصف نوفمبر </t>
  </si>
  <si>
    <t>Finishes — Potable Water Network</t>
  </si>
  <si>
    <t xml:space="preserve">تحت الطلب مواد التشطيب </t>
  </si>
  <si>
    <t>غرفة الحارس</t>
  </si>
  <si>
    <t>Civil Works — Gaurd Room</t>
  </si>
  <si>
    <t xml:space="preserve">سيتم البدء بالاعمال الأسبوع القادم بدء الحفر </t>
  </si>
  <si>
    <t>محطات الرفع</t>
  </si>
  <si>
    <t>Electromechanical Works — Lift Stations</t>
  </si>
  <si>
    <t>تم اصدار جميع أوامر الشراء ، وجاري التوريد في الموعد المحدد</t>
  </si>
  <si>
    <t>Civil Works — Lift Stations</t>
  </si>
  <si>
    <t>محطات الضخ</t>
  </si>
  <si>
    <t>Electromechanical Works — Pump Stations</t>
  </si>
  <si>
    <t>Civil Works — Pump Stations</t>
  </si>
  <si>
    <t>نظام المراقبة CCTV</t>
  </si>
  <si>
    <t>Civil and Finishes Works — CCTV Complete System</t>
  </si>
  <si>
    <t xml:space="preserve">تحت اعتماد المواد </t>
  </si>
  <si>
    <t>Low Current Works — CCTV Complete System</t>
  </si>
  <si>
    <t># البند</t>
  </si>
  <si>
    <t>البند في البروكيرومنت</t>
  </si>
  <si>
    <t>مصدر السطر</t>
  </si>
  <si>
    <t>المرجع</t>
  </si>
  <si>
    <t>الوصف في شيت التوريدات</t>
  </si>
  <si>
    <t>ملاحظات</t>
  </si>
  <si>
    <t>ملف متابعة التوريدات (شيت 2)</t>
  </si>
  <si>
    <t>صف 5</t>
  </si>
  <si>
    <t>FENCE PLAIN CONCRETE FOUNDATION</t>
  </si>
  <si>
    <t>صف 6</t>
  </si>
  <si>
    <t>FENCE REINFORCED CONCRETE FOUNDATION</t>
  </si>
  <si>
    <t>صف 16</t>
  </si>
  <si>
    <t>STREET LIGHT CABLES</t>
  </si>
  <si>
    <t>الوحدة في الشيت "عدد" والكمية غالباً بالمتر</t>
  </si>
  <si>
    <t>صف 15</t>
  </si>
  <si>
    <t>STREET LIGHT FIXTURE</t>
  </si>
  <si>
    <t>صف 14</t>
  </si>
  <si>
    <t>STREET LIGHT POLES</t>
  </si>
  <si>
    <t>MR (شيت 3)</t>
  </si>
  <si>
    <t>MR!131</t>
  </si>
  <si>
    <t>SOLENOID VALVE 1-1/2"</t>
  </si>
  <si>
    <t>EACH</t>
  </si>
  <si>
    <t>MR!132</t>
  </si>
  <si>
    <t>SOLENOID VALVE 2"</t>
  </si>
  <si>
    <t>MR!133</t>
  </si>
  <si>
    <t>AIR RELEASE VALVE 1.5"</t>
  </si>
  <si>
    <t>MR!134</t>
  </si>
  <si>
    <t>AIR RELEASE VALVE 2"</t>
  </si>
  <si>
    <t>MR!135</t>
  </si>
  <si>
    <t>QUICK COUPLING VALVE 1" INSIDE A ROUND VALVE BOX 10" SIZE WITH A MANUAL GATE VALVE HOSE SWIVEL AND KEY WITH ALL ACCESSORIES</t>
  </si>
  <si>
    <t>MR!113</t>
  </si>
  <si>
    <t>PIPE DIM 32 MM ( HDPE 10 BAR )</t>
  </si>
  <si>
    <t>METER</t>
  </si>
  <si>
    <t>MR!114</t>
  </si>
  <si>
    <t>PIPE DIM 40 MM ( HDPE 10 BAR  )</t>
  </si>
  <si>
    <t>MR!115</t>
  </si>
  <si>
    <t>PIPE DIM 50 MM (HDPE 10 BAR)</t>
  </si>
  <si>
    <t>المصدر مكتوب EACH والكمية متر فعلياً</t>
  </si>
  <si>
    <t>صف 19</t>
  </si>
  <si>
    <t>مناهل شبكة الصرف الصحي</t>
  </si>
  <si>
    <t>MR!139</t>
  </si>
  <si>
    <t>PIPE DIM 110 MM ( HDPE 10 BAR )</t>
  </si>
  <si>
    <t>MR!140</t>
  </si>
  <si>
    <t>PIPE DIM 160 MM ( HDPE 10 BAR )</t>
  </si>
  <si>
    <t>MR!141</t>
  </si>
  <si>
    <t>PIPE DIM 200 MM ( HDPE 10 BAR )</t>
  </si>
  <si>
    <t>صف 22</t>
  </si>
  <si>
    <t>مناهل شبكة تصريف مياة الامطار</t>
  </si>
  <si>
    <t>صف 20</t>
  </si>
  <si>
    <t>مصائد الأمطار</t>
  </si>
  <si>
    <t>MR!8</t>
  </si>
  <si>
    <t>UPVC PIPE 315 MM , 6 M , CLASS 4</t>
  </si>
  <si>
    <t>محوّل من قطعة (6م) إلى متر</t>
  </si>
  <si>
    <t>MR!9</t>
  </si>
  <si>
    <t>GRP PIPE DIM 400 6BAR SN5000</t>
  </si>
  <si>
    <t>MR!10</t>
  </si>
  <si>
    <t>STD-PIPE-DIA0500-PN6.00-SN5000-UGS</t>
  </si>
  <si>
    <t>MR!11</t>
  </si>
  <si>
    <t>STD-PIPE-DIA0600-PN6.00-SN5000</t>
  </si>
  <si>
    <t>MR!12</t>
  </si>
  <si>
    <t>STD PIPE DIA0700 PN6.00 SN5000</t>
  </si>
  <si>
    <t>MR!13</t>
  </si>
  <si>
    <t>STD-PIPE-DIA0800-PN6.00-SN10000-UGS</t>
  </si>
  <si>
    <t>MR!14</t>
  </si>
  <si>
    <t>STD-PIPE-DIA0900-PN6.00-SN10000-UGS</t>
  </si>
  <si>
    <t>MR!80</t>
  </si>
  <si>
    <t>FIRE HYDRANT 6' 150MM</t>
  </si>
  <si>
    <t>MR!86</t>
  </si>
  <si>
    <t>DI SURFACE BOX</t>
  </si>
  <si>
    <t>PC</t>
  </si>
  <si>
    <t>MR!81</t>
  </si>
  <si>
    <t>D.I GATE VALVE 150 MM</t>
  </si>
  <si>
    <t>MR!89</t>
  </si>
  <si>
    <t>GATE VALVE 250 MM</t>
  </si>
  <si>
    <t>MR!95</t>
  </si>
  <si>
    <t>FLANGED GATE VALVE 100 MM</t>
  </si>
  <si>
    <t>MR!103</t>
  </si>
  <si>
    <t>DI FLANGED GATE VALVE, DN100, PN16</t>
  </si>
  <si>
    <t>MR!104</t>
  </si>
  <si>
    <t>DI WATER AIR VALVE DN 100 PN16</t>
  </si>
  <si>
    <t>MR!107</t>
  </si>
  <si>
    <t>DI GATE VALVE FOR WASHING DN 100 MM,
PN16</t>
  </si>
  <si>
    <t>م</t>
  </si>
  <si>
    <t>عدد.</t>
  </si>
  <si>
    <t>م2</t>
  </si>
  <si>
    <t>مقطوعيه</t>
  </si>
  <si>
    <t>Pipe— Sewage Network</t>
  </si>
  <si>
    <t>-</t>
  </si>
  <si>
    <t xml:space="preserve">Float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</si>
</sst>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##"/>
  </numFmts>
  <fonts count="1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color rgb="FF00B05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3A5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1F3A5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165" fontId="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9" fontId="13" fillId="0" borderId="2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rightToLeft="1" tabSelected="1" zoomScale="85" zoomScaleNormal="85" workbookViewId="0">
      <selection activeCell="P5" sqref="P5:P45"/>
    </sheetView>
  </sheetViews>
  <sheetFormatPr defaultColWidth="9" defaultRowHeight="14.4" x14ac:dyDescent="0.3"/>
  <cols>
    <col min="1" max="1" width="6.6640625" style="3" bestFit="1" customWidth="1"/>
    <col min="2" max="2" width="18.88671875" style="3" bestFit="1" customWidth="1"/>
    <col min="3" max="3" width="40" style="3" customWidth="1"/>
    <col min="4" max="5" width="6" style="10" customWidth="1"/>
    <col min="6" max="6" width="13.33203125" style="3" hidden="1" customWidth="1"/>
    <col min="7" max="7" width="11.109375" style="3" hidden="1" customWidth="1"/>
    <col min="8" max="8" width="12.44140625" style="3" hidden="1" customWidth="1"/>
    <col min="9" max="9" width="17.33203125" style="3" hidden="1" customWidth="1"/>
    <col min="10" max="10" width="14.5546875" style="3" hidden="1" customWidth="1"/>
    <col min="11" max="11" width="14" style="3" customWidth="1"/>
    <col min="12" max="12" width="9.6640625" style="3" customWidth="1"/>
    <col min="13" max="13" width="16.33203125" style="3" bestFit="1" customWidth="1"/>
    <col min="14" max="14" width="19.44140625" style="3" bestFit="1" customWidth="1"/>
    <col min="15" max="15" width="30.33203125" style="13" hidden="1" customWidth="1"/>
    <col min="16" max="16" width="10.5546875" style="3" bestFit="1" customWidth="1"/>
    <col min="17" max="17" width="9" style="3" customWidth="1"/>
    <col min="18" max="18" width="14" customWidth="1"/>
    <col min="19" max="19" width="16" customWidth="1"/>
    <col min="20" max="20" width="14" customWidth="1"/>
    <col min="21" max="21" width="12" customWidth="1"/>
    <col min="22" max="22" width="50" customWidth="1"/>
    <col min="23" max="16384" width="9" style="3"/>
  </cols>
  <sheetData>
    <row r="1" spans="1:22" ht="16.8" customHeight="1" x14ac:dyDescent="0.3">
      <c r="A1" s="2"/>
    </row>
    <row r="2" spans="1:22" x14ac:dyDescent="0.3">
      <c r="A2" s="4"/>
      <c r="Q2" s="16"/>
    </row>
    <row r="4" spans="1:22" ht="33.75" customHeight="1" x14ac:dyDescent="0.3">
      <c r="A4" s="1" t="s">
        <v>0</v>
      </c>
      <c r="B4" s="1" t="s">
        <v>1</v>
      </c>
      <c r="C4" s="1" t="s">
        <v>2</v>
      </c>
      <c r="D4" s="11" t="s">
        <v>3</v>
      </c>
      <c r="E4" s="1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191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3"/>
    </row>
    <row r="5" spans="1:22" ht="26.4" customHeight="1" x14ac:dyDescent="0.3">
      <c r="A5" s="5">
        <v>1</v>
      </c>
      <c r="B5" s="5" t="s">
        <v>20</v>
      </c>
      <c r="C5" s="6" t="s">
        <v>21</v>
      </c>
      <c r="D5" s="12" t="s">
        <v>22</v>
      </c>
      <c r="E5" s="12" t="s">
        <v>22</v>
      </c>
      <c r="F5" s="5">
        <v>256</v>
      </c>
      <c r="G5" s="5">
        <v>159</v>
      </c>
      <c r="H5" s="5">
        <v>159</v>
      </c>
      <c r="I5" s="5">
        <v>156</v>
      </c>
      <c r="J5" s="7">
        <f t="shared" ref="J5:J45" si="0">MAX(D5:I5)</f>
        <v>256</v>
      </c>
      <c r="K5" s="5" t="s">
        <v>5</v>
      </c>
      <c r="L5" s="5" t="s">
        <v>23</v>
      </c>
      <c r="M5" s="8">
        <v>46266</v>
      </c>
      <c r="N5" s="8">
        <v>46422</v>
      </c>
      <c r="O5" s="15" t="s">
        <v>24</v>
      </c>
      <c r="P5" s="5">
        <f>M5-N5</f>
        <v>-156</v>
      </c>
      <c r="Q5" s="5" t="s">
        <v>41</v>
      </c>
      <c r="R5" s="5">
        <v>16211</v>
      </c>
      <c r="S5" s="5"/>
      <c r="T5" s="5">
        <f>R5-S5</f>
        <v>16211</v>
      </c>
      <c r="U5" s="5"/>
      <c r="V5" s="3"/>
    </row>
    <row r="6" spans="1:22" ht="26.4" customHeight="1" x14ac:dyDescent="0.3">
      <c r="A6" s="5">
        <v>2</v>
      </c>
      <c r="B6" s="5" t="s">
        <v>20</v>
      </c>
      <c r="C6" s="6" t="s">
        <v>25</v>
      </c>
      <c r="D6" s="12" t="s">
        <v>22</v>
      </c>
      <c r="E6" s="12" t="s">
        <v>22</v>
      </c>
      <c r="F6" s="5">
        <v>256</v>
      </c>
      <c r="G6" s="5">
        <v>182</v>
      </c>
      <c r="H6" s="5">
        <v>182</v>
      </c>
      <c r="I6" s="5">
        <v>175</v>
      </c>
      <c r="J6" s="7">
        <f t="shared" si="0"/>
        <v>256</v>
      </c>
      <c r="K6" s="5" t="s">
        <v>5</v>
      </c>
      <c r="L6" s="5" t="s">
        <v>23</v>
      </c>
      <c r="M6" s="8">
        <v>46261</v>
      </c>
      <c r="N6" s="8">
        <v>46418</v>
      </c>
      <c r="O6" s="15" t="s">
        <v>24</v>
      </c>
      <c r="P6" s="5">
        <f t="shared" ref="P6:P44" si="1">M6-N6</f>
        <v>-157</v>
      </c>
      <c r="Q6" s="5" t="s">
        <v>187</v>
      </c>
      <c r="R6" s="5">
        <v>18179</v>
      </c>
      <c r="S6" s="5"/>
      <c r="T6" s="5">
        <f>R6-S6</f>
        <v>18179</v>
      </c>
      <c r="U6" s="5"/>
      <c r="V6" s="3"/>
    </row>
    <row r="7" spans="1:22" ht="26.4" customHeight="1" x14ac:dyDescent="0.3">
      <c r="A7" s="5">
        <v>3</v>
      </c>
      <c r="B7" s="5" t="s">
        <v>26</v>
      </c>
      <c r="C7" s="6" t="s">
        <v>27</v>
      </c>
      <c r="D7" s="12" t="s">
        <v>22</v>
      </c>
      <c r="E7" s="12" t="s">
        <v>22</v>
      </c>
      <c r="F7" s="5" t="s">
        <v>22</v>
      </c>
      <c r="G7" s="5" t="s">
        <v>22</v>
      </c>
      <c r="H7" s="5" t="s">
        <v>28</v>
      </c>
      <c r="I7" s="5">
        <v>98</v>
      </c>
      <c r="J7" s="7">
        <f t="shared" si="0"/>
        <v>98</v>
      </c>
      <c r="K7" s="5" t="s">
        <v>8</v>
      </c>
      <c r="L7" s="5" t="s">
        <v>29</v>
      </c>
      <c r="M7" s="8">
        <v>46203</v>
      </c>
      <c r="N7" s="8">
        <v>46301</v>
      </c>
      <c r="O7" s="15" t="s">
        <v>30</v>
      </c>
      <c r="P7" s="5">
        <f t="shared" si="1"/>
        <v>-98</v>
      </c>
      <c r="Q7" s="5" t="s">
        <v>31</v>
      </c>
      <c r="R7" s="17">
        <f>SUMIFS('تفاصيل الكميات'!$G:$G,'تفاصيل الكميات'!$A:$A,$A7)</f>
        <v>12500</v>
      </c>
      <c r="S7" s="17">
        <f>SUMIFS('تفاصيل الكميات'!$H:$H,'تفاصيل الكميات'!$A:$A,$A7)</f>
        <v>8300</v>
      </c>
      <c r="T7" s="5">
        <f>R7-S7</f>
        <v>4200</v>
      </c>
      <c r="U7" s="18">
        <f>IF(R7=0,"",(R7-T7)/R7)</f>
        <v>0.66400000000000003</v>
      </c>
      <c r="V7" s="3"/>
    </row>
    <row r="8" spans="1:22" ht="26.4" customHeight="1" x14ac:dyDescent="0.3">
      <c r="A8" s="5">
        <v>4</v>
      </c>
      <c r="B8" s="5" t="s">
        <v>32</v>
      </c>
      <c r="C8" s="6" t="s">
        <v>33</v>
      </c>
      <c r="D8" s="12" t="s">
        <v>22</v>
      </c>
      <c r="E8" s="12" t="s">
        <v>22</v>
      </c>
      <c r="F8" s="5">
        <v>266</v>
      </c>
      <c r="G8" s="5">
        <v>184</v>
      </c>
      <c r="H8" s="5">
        <v>183</v>
      </c>
      <c r="I8" s="5">
        <v>183</v>
      </c>
      <c r="J8" s="7">
        <f t="shared" si="0"/>
        <v>266</v>
      </c>
      <c r="K8" s="5" t="s">
        <v>5</v>
      </c>
      <c r="L8" s="5" t="s">
        <v>23</v>
      </c>
      <c r="M8" s="8">
        <v>46179</v>
      </c>
      <c r="N8" s="8">
        <v>46362</v>
      </c>
      <c r="O8" s="15" t="s">
        <v>34</v>
      </c>
      <c r="P8" s="5">
        <f t="shared" si="1"/>
        <v>-183</v>
      </c>
      <c r="Q8" s="5" t="s">
        <v>41</v>
      </c>
      <c r="R8" s="5">
        <v>1</v>
      </c>
      <c r="S8" s="5"/>
      <c r="T8" s="5">
        <f>R8-S8</f>
        <v>1</v>
      </c>
      <c r="U8" s="5"/>
      <c r="V8" s="3"/>
    </row>
    <row r="9" spans="1:22" ht="26.4" customHeight="1" x14ac:dyDescent="0.3">
      <c r="A9" s="5">
        <v>5</v>
      </c>
      <c r="B9" s="5" t="s">
        <v>32</v>
      </c>
      <c r="C9" s="6" t="s">
        <v>35</v>
      </c>
      <c r="D9" s="12" t="s">
        <v>22</v>
      </c>
      <c r="E9" s="12" t="s">
        <v>22</v>
      </c>
      <c r="F9" s="5">
        <v>217</v>
      </c>
      <c r="G9" s="5">
        <v>161</v>
      </c>
      <c r="H9" s="5" t="s">
        <v>28</v>
      </c>
      <c r="I9" s="5">
        <v>147</v>
      </c>
      <c r="J9" s="7">
        <f t="shared" si="0"/>
        <v>217</v>
      </c>
      <c r="K9" s="5" t="s">
        <v>5</v>
      </c>
      <c r="L9" s="5" t="s">
        <v>23</v>
      </c>
      <c r="M9" s="8">
        <v>46349</v>
      </c>
      <c r="N9" s="8">
        <v>46494</v>
      </c>
      <c r="O9" s="15" t="s">
        <v>34</v>
      </c>
      <c r="P9" s="5">
        <f t="shared" si="1"/>
        <v>-145</v>
      </c>
      <c r="Q9" s="5" t="s">
        <v>41</v>
      </c>
      <c r="R9" s="5">
        <v>1</v>
      </c>
      <c r="S9" s="5"/>
      <c r="T9" s="5">
        <f>R9-S9</f>
        <v>1</v>
      </c>
      <c r="U9" s="5"/>
      <c r="V9" s="3"/>
    </row>
    <row r="10" spans="1:22" ht="26.4" customHeight="1" x14ac:dyDescent="0.3">
      <c r="A10" s="5">
        <v>6</v>
      </c>
      <c r="B10" s="5" t="s">
        <v>36</v>
      </c>
      <c r="C10" s="6" t="s">
        <v>37</v>
      </c>
      <c r="D10" s="12" t="s">
        <v>22</v>
      </c>
      <c r="E10" s="12" t="s">
        <v>22</v>
      </c>
      <c r="F10" s="5">
        <v>256</v>
      </c>
      <c r="G10" s="5">
        <v>144</v>
      </c>
      <c r="H10" s="5">
        <v>147</v>
      </c>
      <c r="I10" s="5">
        <v>116</v>
      </c>
      <c r="J10" s="7">
        <f t="shared" si="0"/>
        <v>256</v>
      </c>
      <c r="K10" s="5" t="s">
        <v>8</v>
      </c>
      <c r="L10" s="5" t="s">
        <v>23</v>
      </c>
      <c r="M10" s="8">
        <v>46316</v>
      </c>
      <c r="N10" s="8">
        <v>46432</v>
      </c>
      <c r="O10" s="15" t="s">
        <v>38</v>
      </c>
      <c r="P10" s="5">
        <f t="shared" si="1"/>
        <v>-116</v>
      </c>
      <c r="Q10" s="5" t="s">
        <v>41</v>
      </c>
      <c r="R10" s="5">
        <v>1</v>
      </c>
      <c r="S10" s="5"/>
      <c r="T10" s="5">
        <f>R10-S10</f>
        <v>1</v>
      </c>
      <c r="U10" s="5"/>
      <c r="V10" s="3"/>
    </row>
    <row r="11" spans="1:22" ht="26.4" customHeight="1" x14ac:dyDescent="0.3">
      <c r="A11" s="5">
        <v>7</v>
      </c>
      <c r="B11" s="5" t="s">
        <v>36</v>
      </c>
      <c r="C11" s="6" t="s">
        <v>39</v>
      </c>
      <c r="D11" s="12" t="s">
        <v>22</v>
      </c>
      <c r="E11" s="12" t="s">
        <v>22</v>
      </c>
      <c r="F11" s="5">
        <v>256</v>
      </c>
      <c r="G11" s="5">
        <v>171</v>
      </c>
      <c r="H11" s="5">
        <v>171</v>
      </c>
      <c r="I11" s="5">
        <v>141</v>
      </c>
      <c r="J11" s="7">
        <f t="shared" si="0"/>
        <v>256</v>
      </c>
      <c r="K11" s="5" t="s">
        <v>8</v>
      </c>
      <c r="L11" s="5" t="s">
        <v>23</v>
      </c>
      <c r="M11" s="8">
        <v>46264</v>
      </c>
      <c r="N11" s="8">
        <v>46405</v>
      </c>
      <c r="O11" s="15" t="s">
        <v>40</v>
      </c>
      <c r="P11" s="5">
        <f t="shared" si="1"/>
        <v>-141</v>
      </c>
      <c r="Q11" s="5" t="s">
        <v>41</v>
      </c>
      <c r="R11" s="17">
        <f>SUMIFS('تفاصيل الكميات'!$G:$G,'تفاصيل الكميات'!$A:$A,$A11)</f>
        <v>3399</v>
      </c>
      <c r="S11" s="17">
        <f>SUMIFS('تفاصيل الكميات'!$H:$H,'تفاصيل الكميات'!$A:$A,$A11)</f>
        <v>0</v>
      </c>
      <c r="T11" s="5">
        <f t="shared" ref="T11:T45" si="2">R11-S11</f>
        <v>3399</v>
      </c>
      <c r="U11" s="18">
        <f>IF(R11=0,"",(R11-T11)/R11)</f>
        <v>0</v>
      </c>
      <c r="V11" s="3"/>
    </row>
    <row r="12" spans="1:22" ht="26.4" customHeight="1" x14ac:dyDescent="0.3">
      <c r="A12" s="5">
        <v>8</v>
      </c>
      <c r="B12" s="5" t="s">
        <v>36</v>
      </c>
      <c r="C12" s="6" t="s">
        <v>42</v>
      </c>
      <c r="D12" s="12" t="s">
        <v>22</v>
      </c>
      <c r="E12" s="12" t="s">
        <v>22</v>
      </c>
      <c r="F12" s="5">
        <v>256</v>
      </c>
      <c r="G12" s="5">
        <v>132</v>
      </c>
      <c r="H12" s="5">
        <v>135</v>
      </c>
      <c r="I12" s="5">
        <v>104</v>
      </c>
      <c r="J12" s="7">
        <f t="shared" si="0"/>
        <v>256</v>
      </c>
      <c r="K12" s="5" t="s">
        <v>8</v>
      </c>
      <c r="L12" s="5" t="s">
        <v>23</v>
      </c>
      <c r="M12" s="8">
        <v>46341</v>
      </c>
      <c r="N12" s="8">
        <v>46445</v>
      </c>
      <c r="O12" s="15" t="s">
        <v>38</v>
      </c>
      <c r="P12" s="5">
        <f t="shared" si="1"/>
        <v>-104</v>
      </c>
      <c r="Q12" s="5" t="s">
        <v>41</v>
      </c>
      <c r="R12" s="17">
        <f>SUMIFS('تفاصيل الكميات'!$G:$G,'تفاصيل الكميات'!$A:$A,$A12)</f>
        <v>77</v>
      </c>
      <c r="S12" s="17">
        <f>SUMIFS('تفاصيل الكميات'!$H:$H,'تفاصيل الكميات'!$A:$A,$A12)</f>
        <v>0</v>
      </c>
      <c r="T12" s="5">
        <f t="shared" si="2"/>
        <v>77</v>
      </c>
      <c r="U12" s="18">
        <f t="shared" ref="U12:U45" si="3">IF(R12=0,"",(R12-T12)/R12)</f>
        <v>0</v>
      </c>
      <c r="V12" s="3"/>
    </row>
    <row r="13" spans="1:22" ht="26.4" customHeight="1" x14ac:dyDescent="0.3">
      <c r="A13" s="5">
        <v>9</v>
      </c>
      <c r="B13" s="5" t="s">
        <v>36</v>
      </c>
      <c r="C13" s="6" t="s">
        <v>43</v>
      </c>
      <c r="D13" s="12" t="s">
        <v>22</v>
      </c>
      <c r="E13" s="12" t="s">
        <v>22</v>
      </c>
      <c r="F13" s="5">
        <v>256</v>
      </c>
      <c r="G13" s="5">
        <v>159</v>
      </c>
      <c r="H13" s="5">
        <v>159</v>
      </c>
      <c r="I13" s="5">
        <v>130</v>
      </c>
      <c r="J13" s="7">
        <f t="shared" si="0"/>
        <v>256</v>
      </c>
      <c r="K13" s="5" t="s">
        <v>8</v>
      </c>
      <c r="L13" s="5" t="s">
        <v>23</v>
      </c>
      <c r="M13" s="8">
        <v>46275</v>
      </c>
      <c r="N13" s="8">
        <v>46405</v>
      </c>
      <c r="O13" s="15" t="s">
        <v>38</v>
      </c>
      <c r="P13" s="5">
        <f t="shared" si="1"/>
        <v>-130</v>
      </c>
      <c r="Q13" s="5" t="s">
        <v>41</v>
      </c>
      <c r="R13" s="17">
        <f>SUMIFS('تفاصيل الكميات'!$G:$G,'تفاصيل الكميات'!$A:$A,$A13)</f>
        <v>77</v>
      </c>
      <c r="S13" s="17">
        <f>SUMIFS('تفاصيل الكميات'!$H:$H,'تفاصيل الكميات'!$A:$A,$A13)</f>
        <v>0</v>
      </c>
      <c r="T13" s="5">
        <f t="shared" si="2"/>
        <v>77</v>
      </c>
      <c r="U13" s="18">
        <f t="shared" si="3"/>
        <v>0</v>
      </c>
      <c r="V13" s="3"/>
    </row>
    <row r="14" spans="1:22" ht="26.4" customHeight="1" x14ac:dyDescent="0.3">
      <c r="A14" s="5">
        <v>10</v>
      </c>
      <c r="B14" s="5" t="s">
        <v>36</v>
      </c>
      <c r="C14" s="6" t="s">
        <v>44</v>
      </c>
      <c r="D14" s="12" t="s">
        <v>22</v>
      </c>
      <c r="E14" s="12" t="s">
        <v>22</v>
      </c>
      <c r="F14" s="5">
        <v>256</v>
      </c>
      <c r="G14" s="5">
        <v>188</v>
      </c>
      <c r="H14" s="5">
        <v>188</v>
      </c>
      <c r="I14" s="5">
        <v>179</v>
      </c>
      <c r="J14" s="7">
        <f t="shared" si="0"/>
        <v>256</v>
      </c>
      <c r="K14" s="5" t="s">
        <v>8</v>
      </c>
      <c r="L14" s="5" t="s">
        <v>23</v>
      </c>
      <c r="M14" s="8">
        <v>46246</v>
      </c>
      <c r="N14" s="8">
        <v>46425</v>
      </c>
      <c r="O14" s="15" t="s">
        <v>38</v>
      </c>
      <c r="P14" s="5">
        <f t="shared" si="1"/>
        <v>-179</v>
      </c>
      <c r="Q14" s="5" t="s">
        <v>41</v>
      </c>
      <c r="R14" s="5">
        <v>75</v>
      </c>
      <c r="S14" s="5"/>
      <c r="T14" s="5">
        <f t="shared" si="2"/>
        <v>75</v>
      </c>
      <c r="U14" s="18">
        <f t="shared" si="3"/>
        <v>0</v>
      </c>
      <c r="V14" s="3"/>
    </row>
    <row r="15" spans="1:22" ht="26.4" customHeight="1" x14ac:dyDescent="0.3">
      <c r="A15" s="5">
        <v>11</v>
      </c>
      <c r="B15" s="5" t="s">
        <v>36</v>
      </c>
      <c r="C15" s="6" t="s">
        <v>45</v>
      </c>
      <c r="D15" s="12" t="s">
        <v>22</v>
      </c>
      <c r="E15" s="12" t="s">
        <v>22</v>
      </c>
      <c r="F15" s="5">
        <v>253</v>
      </c>
      <c r="G15" s="5">
        <v>111</v>
      </c>
      <c r="H15" s="5">
        <v>114</v>
      </c>
      <c r="I15" s="5">
        <v>121</v>
      </c>
      <c r="J15" s="7">
        <f t="shared" si="0"/>
        <v>253</v>
      </c>
      <c r="K15" s="5" t="s">
        <v>8</v>
      </c>
      <c r="L15" s="5" t="s">
        <v>23</v>
      </c>
      <c r="M15" s="8">
        <v>46356</v>
      </c>
      <c r="N15" s="8">
        <v>46477</v>
      </c>
      <c r="O15" s="15" t="s">
        <v>38</v>
      </c>
      <c r="P15" s="5">
        <f t="shared" si="1"/>
        <v>-121</v>
      </c>
      <c r="Q15" s="5" t="s">
        <v>41</v>
      </c>
      <c r="R15" s="5">
        <v>405</v>
      </c>
      <c r="S15" s="5"/>
      <c r="T15" s="5">
        <f t="shared" si="2"/>
        <v>405</v>
      </c>
      <c r="U15" s="18">
        <f t="shared" si="3"/>
        <v>0</v>
      </c>
      <c r="V15" s="3"/>
    </row>
    <row r="16" spans="1:22" ht="26.4" customHeight="1" x14ac:dyDescent="0.3">
      <c r="A16" s="5">
        <v>12</v>
      </c>
      <c r="B16" s="5" t="s">
        <v>36</v>
      </c>
      <c r="C16" s="6" t="s">
        <v>46</v>
      </c>
      <c r="D16" s="12" t="s">
        <v>22</v>
      </c>
      <c r="E16" s="12" t="s">
        <v>22</v>
      </c>
      <c r="F16" s="5">
        <v>253</v>
      </c>
      <c r="G16" s="5">
        <v>154</v>
      </c>
      <c r="H16" s="5">
        <v>154</v>
      </c>
      <c r="I16" s="5">
        <v>154</v>
      </c>
      <c r="J16" s="7">
        <f t="shared" si="0"/>
        <v>253</v>
      </c>
      <c r="K16" s="5" t="s">
        <v>8</v>
      </c>
      <c r="L16" s="5" t="s">
        <v>23</v>
      </c>
      <c r="M16" s="8">
        <v>46356</v>
      </c>
      <c r="N16" s="8">
        <v>46510</v>
      </c>
      <c r="O16" s="15" t="s">
        <v>38</v>
      </c>
      <c r="P16" s="5">
        <f t="shared" si="1"/>
        <v>-154</v>
      </c>
      <c r="Q16" s="5" t="s">
        <v>41</v>
      </c>
      <c r="R16" s="5">
        <v>75</v>
      </c>
      <c r="S16" s="5"/>
      <c r="T16" s="5">
        <f t="shared" si="2"/>
        <v>75</v>
      </c>
      <c r="U16" s="18">
        <f t="shared" si="3"/>
        <v>0</v>
      </c>
      <c r="V16" s="3"/>
    </row>
    <row r="17" spans="1:22" ht="26.4" customHeight="1" x14ac:dyDescent="0.3">
      <c r="A17" s="5">
        <v>13</v>
      </c>
      <c r="B17" s="5" t="s">
        <v>36</v>
      </c>
      <c r="C17" s="6" t="s">
        <v>47</v>
      </c>
      <c r="D17" s="12" t="s">
        <v>22</v>
      </c>
      <c r="E17" s="12" t="s">
        <v>22</v>
      </c>
      <c r="F17" s="5">
        <v>253</v>
      </c>
      <c r="G17" s="5">
        <v>153</v>
      </c>
      <c r="H17" s="5">
        <v>158</v>
      </c>
      <c r="I17" s="5">
        <v>128</v>
      </c>
      <c r="J17" s="7">
        <f t="shared" si="0"/>
        <v>253</v>
      </c>
      <c r="K17" s="5" t="s">
        <v>8</v>
      </c>
      <c r="L17" s="5" t="s">
        <v>23</v>
      </c>
      <c r="M17" s="8">
        <v>46334</v>
      </c>
      <c r="N17" s="8">
        <v>46462</v>
      </c>
      <c r="O17" s="15" t="s">
        <v>38</v>
      </c>
      <c r="P17" s="5">
        <f t="shared" si="1"/>
        <v>-128</v>
      </c>
      <c r="Q17" s="5" t="s">
        <v>41</v>
      </c>
      <c r="R17" s="5">
        <v>75</v>
      </c>
      <c r="S17" s="5"/>
      <c r="T17" s="5">
        <f t="shared" si="2"/>
        <v>75</v>
      </c>
      <c r="U17" s="18">
        <f t="shared" si="3"/>
        <v>0</v>
      </c>
      <c r="V17" s="3"/>
    </row>
    <row r="18" spans="1:22" ht="26.4" customHeight="1" x14ac:dyDescent="0.3">
      <c r="A18" s="5">
        <v>14</v>
      </c>
      <c r="B18" s="5" t="s">
        <v>48</v>
      </c>
      <c r="C18" s="6" t="s">
        <v>49</v>
      </c>
      <c r="D18" s="12" t="s">
        <v>22</v>
      </c>
      <c r="E18" s="12" t="s">
        <v>22</v>
      </c>
      <c r="F18" s="5">
        <v>256</v>
      </c>
      <c r="G18" s="5">
        <v>146</v>
      </c>
      <c r="H18" s="5">
        <v>145</v>
      </c>
      <c r="I18" s="5">
        <v>105</v>
      </c>
      <c r="J18" s="7">
        <f t="shared" si="0"/>
        <v>256</v>
      </c>
      <c r="K18" s="5" t="s">
        <v>5</v>
      </c>
      <c r="L18" s="5" t="s">
        <v>23</v>
      </c>
      <c r="M18" s="8">
        <v>46270</v>
      </c>
      <c r="N18" s="8">
        <v>46375</v>
      </c>
      <c r="O18" s="15" t="s">
        <v>50</v>
      </c>
      <c r="P18" s="5">
        <f t="shared" si="1"/>
        <v>-105</v>
      </c>
      <c r="Q18" s="5" t="s">
        <v>61</v>
      </c>
      <c r="R18" s="5">
        <v>5625</v>
      </c>
      <c r="S18" s="5"/>
      <c r="T18" s="5">
        <f t="shared" si="2"/>
        <v>5625</v>
      </c>
      <c r="U18" s="18">
        <f t="shared" si="3"/>
        <v>0</v>
      </c>
      <c r="V18" s="3"/>
    </row>
    <row r="19" spans="1:22" ht="26.4" customHeight="1" x14ac:dyDescent="0.3">
      <c r="A19" s="5">
        <v>15</v>
      </c>
      <c r="B19" s="5" t="s">
        <v>48</v>
      </c>
      <c r="C19" s="6" t="s">
        <v>51</v>
      </c>
      <c r="D19" s="12" t="s">
        <v>22</v>
      </c>
      <c r="E19" s="12" t="s">
        <v>22</v>
      </c>
      <c r="F19" s="5">
        <v>256</v>
      </c>
      <c r="G19" s="5">
        <v>153</v>
      </c>
      <c r="H19" s="5">
        <v>153</v>
      </c>
      <c r="I19" s="5">
        <v>124</v>
      </c>
      <c r="J19" s="7">
        <f t="shared" si="0"/>
        <v>256</v>
      </c>
      <c r="K19" s="5" t="s">
        <v>5</v>
      </c>
      <c r="L19" s="5" t="s">
        <v>23</v>
      </c>
      <c r="M19" s="8">
        <v>46281</v>
      </c>
      <c r="N19" s="8">
        <v>46405</v>
      </c>
      <c r="O19" s="15" t="s">
        <v>50</v>
      </c>
      <c r="P19" s="5">
        <f t="shared" si="1"/>
        <v>-124</v>
      </c>
      <c r="Q19" s="5" t="s">
        <v>186</v>
      </c>
      <c r="R19" s="5">
        <v>56</v>
      </c>
      <c r="S19" s="5"/>
      <c r="T19" s="5">
        <f t="shared" si="2"/>
        <v>56</v>
      </c>
      <c r="U19" s="18">
        <f t="shared" si="3"/>
        <v>0</v>
      </c>
      <c r="V19" s="3"/>
    </row>
    <row r="20" spans="1:22" ht="26.4" customHeight="1" x14ac:dyDescent="0.3">
      <c r="A20" s="5">
        <v>16</v>
      </c>
      <c r="B20" s="5" t="s">
        <v>52</v>
      </c>
      <c r="C20" s="6" t="s">
        <v>53</v>
      </c>
      <c r="D20" s="12" t="s">
        <v>22</v>
      </c>
      <c r="E20" s="12" t="s">
        <v>22</v>
      </c>
      <c r="F20" s="5">
        <v>256</v>
      </c>
      <c r="G20" s="5">
        <v>181</v>
      </c>
      <c r="H20" s="5">
        <v>180</v>
      </c>
      <c r="I20" s="5">
        <v>152</v>
      </c>
      <c r="J20" s="7">
        <f t="shared" si="0"/>
        <v>256</v>
      </c>
      <c r="K20" s="5" t="s">
        <v>5</v>
      </c>
      <c r="L20" s="5" t="s">
        <v>23</v>
      </c>
      <c r="M20" s="8">
        <v>46237</v>
      </c>
      <c r="N20" s="8">
        <v>46389</v>
      </c>
      <c r="O20" s="15" t="s">
        <v>54</v>
      </c>
      <c r="P20" s="5">
        <f t="shared" si="1"/>
        <v>-152</v>
      </c>
      <c r="Q20" s="23" t="s">
        <v>61</v>
      </c>
      <c r="R20" s="23">
        <v>3100</v>
      </c>
      <c r="S20" s="5"/>
      <c r="T20" s="5">
        <f t="shared" si="2"/>
        <v>3100</v>
      </c>
      <c r="U20" s="18">
        <f t="shared" si="3"/>
        <v>0</v>
      </c>
      <c r="V20" s="3"/>
    </row>
    <row r="21" spans="1:22" ht="26.4" customHeight="1" x14ac:dyDescent="0.3">
      <c r="A21" s="5">
        <v>17</v>
      </c>
      <c r="B21" s="5" t="s">
        <v>52</v>
      </c>
      <c r="C21" s="6" t="s">
        <v>55</v>
      </c>
      <c r="D21" s="12" t="s">
        <v>22</v>
      </c>
      <c r="E21" s="12" t="s">
        <v>22</v>
      </c>
      <c r="F21" s="5">
        <v>256</v>
      </c>
      <c r="G21" s="5">
        <v>147</v>
      </c>
      <c r="H21" s="5">
        <v>133</v>
      </c>
      <c r="I21" s="5">
        <v>142</v>
      </c>
      <c r="J21" s="7">
        <f t="shared" si="0"/>
        <v>256</v>
      </c>
      <c r="K21" s="5" t="s">
        <v>5</v>
      </c>
      <c r="L21" s="5" t="s">
        <v>23</v>
      </c>
      <c r="M21" s="8">
        <v>46319</v>
      </c>
      <c r="N21" s="8">
        <v>46461</v>
      </c>
      <c r="O21" s="15" t="s">
        <v>54</v>
      </c>
      <c r="P21" s="5">
        <f t="shared" si="1"/>
        <v>-142</v>
      </c>
      <c r="Q21" s="23" t="s">
        <v>190</v>
      </c>
      <c r="R21" s="23" t="s">
        <v>190</v>
      </c>
      <c r="S21" s="5"/>
      <c r="T21" s="5"/>
      <c r="U21" s="18"/>
      <c r="V21" s="3"/>
    </row>
    <row r="22" spans="1:22" ht="26.4" customHeight="1" x14ac:dyDescent="0.3">
      <c r="A22" s="5">
        <v>18</v>
      </c>
      <c r="B22" s="5" t="s">
        <v>56</v>
      </c>
      <c r="C22" s="6" t="s">
        <v>57</v>
      </c>
      <c r="D22" s="12" t="s">
        <v>22</v>
      </c>
      <c r="E22" s="12" t="s">
        <v>22</v>
      </c>
      <c r="F22" s="5">
        <v>263</v>
      </c>
      <c r="G22" s="5">
        <v>172</v>
      </c>
      <c r="H22" s="5">
        <v>172</v>
      </c>
      <c r="I22" s="5">
        <v>152</v>
      </c>
      <c r="J22" s="7">
        <f t="shared" si="0"/>
        <v>263</v>
      </c>
      <c r="K22" s="5" t="s">
        <v>5</v>
      </c>
      <c r="L22" s="5" t="s">
        <v>23</v>
      </c>
      <c r="M22" s="8">
        <v>46260</v>
      </c>
      <c r="N22" s="8">
        <v>46412</v>
      </c>
      <c r="O22" s="15" t="s">
        <v>58</v>
      </c>
      <c r="P22" s="5">
        <f t="shared" si="1"/>
        <v>-152</v>
      </c>
      <c r="Q22" s="5" t="s">
        <v>41</v>
      </c>
      <c r="R22" s="17">
        <f>SUMIFS('تفاصيل الكميات'!$G:$G,'تفاصيل الكميات'!$A:$A,$A22)</f>
        <v>91</v>
      </c>
      <c r="S22" s="17">
        <f>SUMIFS('تفاصيل الكميات'!$H:$H,'تفاصيل الكميات'!$A:$A,$A22)</f>
        <v>0</v>
      </c>
      <c r="T22" s="5">
        <f t="shared" si="2"/>
        <v>91</v>
      </c>
      <c r="U22" s="18">
        <f t="shared" si="3"/>
        <v>0</v>
      </c>
      <c r="V22" s="3"/>
    </row>
    <row r="23" spans="1:22" ht="26.4" customHeight="1" x14ac:dyDescent="0.3">
      <c r="A23" s="5">
        <v>19</v>
      </c>
      <c r="B23" s="5" t="s">
        <v>56</v>
      </c>
      <c r="C23" s="6" t="s">
        <v>59</v>
      </c>
      <c r="D23" s="12" t="s">
        <v>22</v>
      </c>
      <c r="E23" s="12" t="s">
        <v>22</v>
      </c>
      <c r="F23" s="5" t="s">
        <v>60</v>
      </c>
      <c r="G23" s="5">
        <v>209</v>
      </c>
      <c r="H23" s="5">
        <v>208</v>
      </c>
      <c r="I23" s="5">
        <v>187</v>
      </c>
      <c r="J23" s="7">
        <f t="shared" si="0"/>
        <v>209</v>
      </c>
      <c r="K23" s="5" t="s">
        <v>8</v>
      </c>
      <c r="L23" s="5" t="s">
        <v>29</v>
      </c>
      <c r="M23" s="8">
        <v>46219</v>
      </c>
      <c r="N23" s="8">
        <v>46406</v>
      </c>
      <c r="O23" s="15" t="s">
        <v>58</v>
      </c>
      <c r="P23" s="5">
        <f t="shared" si="1"/>
        <v>-187</v>
      </c>
      <c r="Q23" s="5" t="s">
        <v>61</v>
      </c>
      <c r="R23" s="17">
        <f>SUMIFS('تفاصيل الكميات'!$G:$G,'تفاصيل الكميات'!$A:$A,$A23)</f>
        <v>5981.57</v>
      </c>
      <c r="S23" s="17">
        <f>SUMIFS('تفاصيل الكميات'!$H:$H,'تفاصيل الكميات'!$A:$A,$A23)</f>
        <v>0</v>
      </c>
      <c r="T23" s="5">
        <f t="shared" si="2"/>
        <v>5981.57</v>
      </c>
      <c r="U23" s="18">
        <f t="shared" si="3"/>
        <v>0</v>
      </c>
      <c r="V23" s="3"/>
    </row>
    <row r="24" spans="1:22" ht="26.4" customHeight="1" x14ac:dyDescent="0.3">
      <c r="A24" s="5">
        <v>20</v>
      </c>
      <c r="B24" s="5" t="s">
        <v>62</v>
      </c>
      <c r="C24" s="6" t="s">
        <v>63</v>
      </c>
      <c r="D24" s="12" t="s">
        <v>22</v>
      </c>
      <c r="E24" s="12" t="s">
        <v>22</v>
      </c>
      <c r="F24" s="5">
        <v>256</v>
      </c>
      <c r="G24" s="5">
        <v>181</v>
      </c>
      <c r="H24" s="5">
        <v>183</v>
      </c>
      <c r="I24" s="5">
        <v>188</v>
      </c>
      <c r="J24" s="7">
        <f t="shared" si="0"/>
        <v>256</v>
      </c>
      <c r="K24" s="5" t="s">
        <v>5</v>
      </c>
      <c r="L24" s="5" t="s">
        <v>29</v>
      </c>
      <c r="M24" s="8">
        <v>46294</v>
      </c>
      <c r="N24" s="8">
        <v>46482</v>
      </c>
      <c r="O24" s="15" t="s">
        <v>58</v>
      </c>
      <c r="P24" s="5">
        <f t="shared" si="1"/>
        <v>-188</v>
      </c>
      <c r="Q24" s="5" t="s">
        <v>41</v>
      </c>
      <c r="R24" s="5">
        <v>42</v>
      </c>
      <c r="S24" s="5">
        <v>42</v>
      </c>
      <c r="T24" s="5">
        <f t="shared" si="2"/>
        <v>0</v>
      </c>
      <c r="U24" s="18">
        <f t="shared" si="3"/>
        <v>1</v>
      </c>
      <c r="V24" s="3"/>
    </row>
    <row r="25" spans="1:22" ht="26.4" customHeight="1" x14ac:dyDescent="0.3">
      <c r="A25" s="5">
        <v>21</v>
      </c>
      <c r="B25" s="5" t="s">
        <v>62</v>
      </c>
      <c r="C25" s="6" t="s">
        <v>189</v>
      </c>
      <c r="D25" s="12" t="s">
        <v>22</v>
      </c>
      <c r="E25" s="12" t="s">
        <v>22</v>
      </c>
      <c r="F25" s="5"/>
      <c r="G25" s="5"/>
      <c r="H25" s="5"/>
      <c r="I25" s="5"/>
      <c r="J25" s="7"/>
      <c r="K25" s="5" t="s">
        <v>8</v>
      </c>
      <c r="L25" s="5" t="s">
        <v>74</v>
      </c>
      <c r="M25" s="8">
        <v>46270</v>
      </c>
      <c r="N25" s="8">
        <v>46271</v>
      </c>
      <c r="O25" s="15"/>
      <c r="P25" s="5">
        <f t="shared" si="1"/>
        <v>-1</v>
      </c>
      <c r="Q25" s="5" t="s">
        <v>61</v>
      </c>
      <c r="R25" s="5">
        <v>1944</v>
      </c>
      <c r="S25" s="5">
        <v>1944</v>
      </c>
      <c r="T25" s="5">
        <f t="shared" si="2"/>
        <v>0</v>
      </c>
      <c r="U25" s="18">
        <f t="shared" si="3"/>
        <v>1</v>
      </c>
      <c r="V25" s="3"/>
    </row>
    <row r="26" spans="1:22" ht="26.4" customHeight="1" x14ac:dyDescent="0.3">
      <c r="A26" s="5">
        <v>22</v>
      </c>
      <c r="B26" s="5" t="s">
        <v>62</v>
      </c>
      <c r="C26" s="6" t="s">
        <v>64</v>
      </c>
      <c r="D26" s="12" t="s">
        <v>22</v>
      </c>
      <c r="E26" s="12" t="s">
        <v>22</v>
      </c>
      <c r="F26" s="5" t="s">
        <v>22</v>
      </c>
      <c r="G26" s="5" t="s">
        <v>22</v>
      </c>
      <c r="H26" s="5" t="s">
        <v>22</v>
      </c>
      <c r="I26" s="5">
        <v>145</v>
      </c>
      <c r="J26" s="7">
        <f t="shared" si="0"/>
        <v>145</v>
      </c>
      <c r="K26" s="5" t="s">
        <v>8</v>
      </c>
      <c r="L26" s="5" t="s">
        <v>29</v>
      </c>
      <c r="M26" s="8">
        <v>46156</v>
      </c>
      <c r="N26" s="8">
        <v>46301</v>
      </c>
      <c r="O26" s="15" t="s">
        <v>65</v>
      </c>
      <c r="P26" s="5">
        <f t="shared" si="1"/>
        <v>-145</v>
      </c>
      <c r="Q26" s="5" t="s">
        <v>41</v>
      </c>
      <c r="R26" s="17">
        <f>SUMIFS('تفاصيل الكميات'!$G:$G,'تفاصيل الكميات'!$A:$A,$A26)</f>
        <v>2489.5940000000005</v>
      </c>
      <c r="S26" s="17">
        <f>SUMIFS('تفاصيل الكميات'!$H:$H,'تفاصيل الكميات'!$A:$A,$A26)</f>
        <v>1200</v>
      </c>
      <c r="T26" s="5">
        <f t="shared" si="2"/>
        <v>1289.5940000000005</v>
      </c>
      <c r="U26" s="18">
        <f t="shared" si="3"/>
        <v>0.48200630303575592</v>
      </c>
      <c r="V26" s="3"/>
    </row>
    <row r="27" spans="1:22" ht="26.4" customHeight="1" x14ac:dyDescent="0.3">
      <c r="A27" s="5">
        <v>23</v>
      </c>
      <c r="B27" s="5" t="s">
        <v>66</v>
      </c>
      <c r="C27" s="6" t="s">
        <v>67</v>
      </c>
      <c r="D27" s="12" t="s">
        <v>28</v>
      </c>
      <c r="E27" s="12" t="s">
        <v>28</v>
      </c>
      <c r="F27" s="5">
        <v>256</v>
      </c>
      <c r="G27" s="5">
        <v>200</v>
      </c>
      <c r="H27" s="5">
        <v>200</v>
      </c>
      <c r="I27" s="5" t="s">
        <v>60</v>
      </c>
      <c r="J27" s="7">
        <f t="shared" si="0"/>
        <v>256</v>
      </c>
      <c r="K27" s="5" t="s">
        <v>5</v>
      </c>
      <c r="L27" s="5" t="s">
        <v>29</v>
      </c>
      <c r="M27" s="8">
        <v>46225</v>
      </c>
      <c r="N27" s="8">
        <v>46405</v>
      </c>
      <c r="O27" s="15" t="s">
        <v>58</v>
      </c>
      <c r="P27" s="5">
        <f t="shared" si="1"/>
        <v>-180</v>
      </c>
      <c r="Q27" s="5" t="s">
        <v>41</v>
      </c>
      <c r="R27" s="17">
        <f>SUMIFS('تفاصيل الكميات'!$G:$G,'تفاصيل الكميات'!$A:$A,$A27)</f>
        <v>0</v>
      </c>
      <c r="S27" s="17">
        <f>SUMIFS('تفاصيل الكميات'!$H:$H,'تفاصيل الكميات'!$A:$A,$A27)</f>
        <v>0</v>
      </c>
      <c r="T27" s="5">
        <f t="shared" si="2"/>
        <v>0</v>
      </c>
      <c r="U27" s="18" t="str">
        <f t="shared" si="3"/>
        <v/>
      </c>
      <c r="V27" s="3"/>
    </row>
    <row r="28" spans="1:22" x14ac:dyDescent="0.3">
      <c r="A28" s="5">
        <v>24</v>
      </c>
      <c r="B28" s="5" t="s">
        <v>66</v>
      </c>
      <c r="C28" s="6" t="s">
        <v>68</v>
      </c>
      <c r="D28" s="12" t="s">
        <v>28</v>
      </c>
      <c r="E28" s="12" t="s">
        <v>28</v>
      </c>
      <c r="F28" s="5">
        <v>256</v>
      </c>
      <c r="G28" s="5">
        <v>153</v>
      </c>
      <c r="H28" s="5">
        <v>153</v>
      </c>
      <c r="I28" s="5">
        <v>133</v>
      </c>
      <c r="J28" s="7">
        <f t="shared" si="0"/>
        <v>256</v>
      </c>
      <c r="K28" s="5" t="s">
        <v>5</v>
      </c>
      <c r="L28" s="5" t="s">
        <v>23</v>
      </c>
      <c r="M28" s="8">
        <v>46272</v>
      </c>
      <c r="N28" s="8">
        <v>46405</v>
      </c>
      <c r="O28" s="15" t="s">
        <v>58</v>
      </c>
      <c r="P28" s="5">
        <f t="shared" si="1"/>
        <v>-133</v>
      </c>
      <c r="Q28" s="5" t="s">
        <v>41</v>
      </c>
      <c r="R28" s="5">
        <v>42</v>
      </c>
      <c r="S28" s="5"/>
      <c r="T28" s="5">
        <f t="shared" si="2"/>
        <v>42</v>
      </c>
      <c r="U28" s="18">
        <f t="shared" si="3"/>
        <v>0</v>
      </c>
      <c r="V28" s="3"/>
    </row>
    <row r="29" spans="1:22" ht="26.4" customHeight="1" x14ac:dyDescent="0.3">
      <c r="A29" s="5">
        <v>25</v>
      </c>
      <c r="B29" s="5" t="s">
        <v>69</v>
      </c>
      <c r="C29" s="6" t="s">
        <v>70</v>
      </c>
      <c r="D29" s="12" t="s">
        <v>22</v>
      </c>
      <c r="E29" s="12" t="s">
        <v>22</v>
      </c>
      <c r="F29" s="5">
        <v>257</v>
      </c>
      <c r="G29" s="5">
        <v>231</v>
      </c>
      <c r="H29" s="5" t="s">
        <v>28</v>
      </c>
      <c r="I29" s="5">
        <v>217</v>
      </c>
      <c r="J29" s="7">
        <f t="shared" si="0"/>
        <v>257</v>
      </c>
      <c r="K29" s="5" t="s">
        <v>5</v>
      </c>
      <c r="L29" s="5" t="s">
        <v>29</v>
      </c>
      <c r="M29" s="8">
        <v>46131</v>
      </c>
      <c r="N29" s="8">
        <v>46348</v>
      </c>
      <c r="O29" s="15" t="s">
        <v>65</v>
      </c>
      <c r="P29" s="5">
        <f t="shared" si="1"/>
        <v>-217</v>
      </c>
      <c r="Q29" s="5" t="s">
        <v>41</v>
      </c>
      <c r="R29" s="17">
        <f>SUMIFS('تفاصيل الكميات'!$G:$G,'تفاصيل الكميات'!$A:$A,$A29)</f>
        <v>0</v>
      </c>
      <c r="S29" s="17">
        <f>SUMIFS('تفاصيل الكميات'!$H:$H,'تفاصيل الكميات'!$A:$A,$A29)</f>
        <v>0</v>
      </c>
      <c r="T29" s="5">
        <f t="shared" si="2"/>
        <v>0</v>
      </c>
      <c r="U29" s="18" t="str">
        <f t="shared" si="3"/>
        <v/>
      </c>
      <c r="V29" s="3"/>
    </row>
    <row r="30" spans="1:22" ht="26.4" customHeight="1" x14ac:dyDescent="0.3">
      <c r="A30" s="5">
        <v>26</v>
      </c>
      <c r="B30" s="5" t="s">
        <v>69</v>
      </c>
      <c r="C30" s="6" t="s">
        <v>71</v>
      </c>
      <c r="D30" s="12" t="s">
        <v>22</v>
      </c>
      <c r="E30" s="12" t="s">
        <v>22</v>
      </c>
      <c r="F30" s="5">
        <v>256</v>
      </c>
      <c r="G30" s="5">
        <v>163</v>
      </c>
      <c r="H30" s="5">
        <v>163</v>
      </c>
      <c r="I30" s="5">
        <v>161</v>
      </c>
      <c r="J30" s="7">
        <f t="shared" si="0"/>
        <v>256</v>
      </c>
      <c r="K30" s="5" t="s">
        <v>8</v>
      </c>
      <c r="L30" s="5" t="s">
        <v>23</v>
      </c>
      <c r="M30" s="8">
        <v>46281</v>
      </c>
      <c r="N30" s="8">
        <v>46442</v>
      </c>
      <c r="O30" s="15" t="s">
        <v>72</v>
      </c>
      <c r="P30" s="5">
        <f t="shared" si="1"/>
        <v>-161</v>
      </c>
      <c r="Q30" s="5" t="s">
        <v>41</v>
      </c>
      <c r="R30" s="5">
        <v>195</v>
      </c>
      <c r="S30" s="5"/>
      <c r="T30" s="5">
        <f t="shared" si="2"/>
        <v>195</v>
      </c>
      <c r="U30" s="18">
        <f t="shared" si="3"/>
        <v>0</v>
      </c>
      <c r="V30" s="3"/>
    </row>
    <row r="31" spans="1:22" ht="26.4" customHeight="1" x14ac:dyDescent="0.3">
      <c r="A31" s="5">
        <v>27</v>
      </c>
      <c r="B31" s="5" t="s">
        <v>69</v>
      </c>
      <c r="C31" s="14" t="s">
        <v>73</v>
      </c>
      <c r="D31" s="12" t="s">
        <v>22</v>
      </c>
      <c r="E31" s="12" t="s">
        <v>22</v>
      </c>
      <c r="F31" s="5">
        <v>256</v>
      </c>
      <c r="G31" s="5">
        <v>239</v>
      </c>
      <c r="H31" s="5">
        <v>237</v>
      </c>
      <c r="I31" s="5">
        <v>180</v>
      </c>
      <c r="J31" s="7">
        <f t="shared" si="0"/>
        <v>256</v>
      </c>
      <c r="K31" s="5" t="s">
        <v>8</v>
      </c>
      <c r="L31" s="5" t="s">
        <v>74</v>
      </c>
      <c r="M31" s="8">
        <v>46155</v>
      </c>
      <c r="N31" s="8">
        <v>46335</v>
      </c>
      <c r="O31" s="15" t="s">
        <v>75</v>
      </c>
      <c r="P31" s="5">
        <f t="shared" si="1"/>
        <v>-180</v>
      </c>
      <c r="Q31" s="24" t="s">
        <v>185</v>
      </c>
      <c r="R31" s="24">
        <v>2686.14</v>
      </c>
      <c r="S31" s="5">
        <v>2686.14</v>
      </c>
      <c r="T31" s="5">
        <f t="shared" si="2"/>
        <v>0</v>
      </c>
      <c r="U31" s="18">
        <f t="shared" si="3"/>
        <v>1</v>
      </c>
      <c r="V31" s="3"/>
    </row>
    <row r="32" spans="1:22" ht="26.4" customHeight="1" x14ac:dyDescent="0.3">
      <c r="A32" s="5">
        <v>28</v>
      </c>
      <c r="B32" s="5" t="s">
        <v>69</v>
      </c>
      <c r="C32" s="6" t="s">
        <v>76</v>
      </c>
      <c r="D32" s="12" t="s">
        <v>22</v>
      </c>
      <c r="E32" s="12" t="s">
        <v>22</v>
      </c>
      <c r="F32" s="5">
        <v>256</v>
      </c>
      <c r="G32" s="5">
        <v>239</v>
      </c>
      <c r="H32" s="5">
        <v>237</v>
      </c>
      <c r="I32" s="5">
        <v>180</v>
      </c>
      <c r="J32" s="7">
        <f t="shared" si="0"/>
        <v>256</v>
      </c>
      <c r="K32" s="5" t="s">
        <v>8</v>
      </c>
      <c r="L32" s="5" t="s">
        <v>29</v>
      </c>
      <c r="M32" s="8">
        <v>46155</v>
      </c>
      <c r="N32" s="8">
        <v>46335</v>
      </c>
      <c r="O32" s="15" t="s">
        <v>77</v>
      </c>
      <c r="P32" s="5">
        <f t="shared" si="1"/>
        <v>-180</v>
      </c>
      <c r="Q32" s="5" t="s">
        <v>41</v>
      </c>
      <c r="R32" s="17">
        <f>SUMIFS('تفاصيل الكميات'!$G:$G,'تفاصيل الكميات'!$A:$A,$A32)</f>
        <v>0</v>
      </c>
      <c r="S32" s="17">
        <f>SUMIFS('تفاصيل الكميات'!$H:$H,'تفاصيل الكميات'!$A:$A,$A32)</f>
        <v>0</v>
      </c>
      <c r="T32" s="5">
        <f t="shared" si="2"/>
        <v>0</v>
      </c>
      <c r="U32" s="18" t="str">
        <f t="shared" si="3"/>
        <v/>
      </c>
      <c r="V32" s="3"/>
    </row>
    <row r="33" spans="1:22" ht="26.4" customHeight="1" x14ac:dyDescent="0.3">
      <c r="A33" s="5">
        <v>29</v>
      </c>
      <c r="B33" s="5" t="s">
        <v>69</v>
      </c>
      <c r="C33" s="6" t="s">
        <v>78</v>
      </c>
      <c r="D33" s="12" t="s">
        <v>22</v>
      </c>
      <c r="E33" s="12" t="s">
        <v>22</v>
      </c>
      <c r="F33" s="5">
        <v>256</v>
      </c>
      <c r="G33" s="5">
        <v>146</v>
      </c>
      <c r="H33" s="5">
        <v>146</v>
      </c>
      <c r="I33" s="5">
        <v>163</v>
      </c>
      <c r="J33" s="7">
        <f t="shared" si="0"/>
        <v>256</v>
      </c>
      <c r="K33" s="5" t="s">
        <v>8</v>
      </c>
      <c r="L33" s="5" t="s">
        <v>23</v>
      </c>
      <c r="M33" s="8">
        <v>46300</v>
      </c>
      <c r="N33" s="8">
        <v>46463</v>
      </c>
      <c r="O33" s="15" t="s">
        <v>79</v>
      </c>
      <c r="P33" s="5">
        <f t="shared" si="1"/>
        <v>-163</v>
      </c>
      <c r="Q33" s="5" t="s">
        <v>41</v>
      </c>
      <c r="R33" s="5">
        <v>55</v>
      </c>
      <c r="S33" s="5"/>
      <c r="T33" s="5">
        <f t="shared" si="2"/>
        <v>55</v>
      </c>
      <c r="U33" s="18">
        <f t="shared" si="3"/>
        <v>0</v>
      </c>
      <c r="V33" s="3"/>
    </row>
    <row r="34" spans="1:22" ht="26.4" customHeight="1" x14ac:dyDescent="0.3">
      <c r="A34" s="5">
        <v>30</v>
      </c>
      <c r="B34" s="5" t="s">
        <v>69</v>
      </c>
      <c r="C34" s="6" t="s">
        <v>80</v>
      </c>
      <c r="D34" s="12" t="s">
        <v>22</v>
      </c>
      <c r="E34" s="12" t="s">
        <v>22</v>
      </c>
      <c r="F34" s="5">
        <v>252</v>
      </c>
      <c r="G34" s="5">
        <v>194</v>
      </c>
      <c r="H34" s="5">
        <v>194</v>
      </c>
      <c r="I34" s="5">
        <v>188</v>
      </c>
      <c r="J34" s="7">
        <f t="shared" si="0"/>
        <v>252</v>
      </c>
      <c r="K34" s="5" t="s">
        <v>8</v>
      </c>
      <c r="L34" s="5" t="s">
        <v>29</v>
      </c>
      <c r="M34" s="8">
        <v>46131</v>
      </c>
      <c r="N34" s="8">
        <v>46319</v>
      </c>
      <c r="O34" s="15" t="s">
        <v>81</v>
      </c>
      <c r="P34" s="5">
        <f t="shared" si="1"/>
        <v>-188</v>
      </c>
      <c r="Q34" s="5" t="s">
        <v>61</v>
      </c>
      <c r="R34" s="17">
        <f>SUMIFS('تفاصيل الكميات'!$G:$G,'تفاصيل الكميات'!$A:$A,$A34)</f>
        <v>18</v>
      </c>
      <c r="S34" s="17">
        <f>SUMIFS('تفاصيل الكميات'!$H:$H,'تفاصيل الكميات'!$A:$A,$A34)</f>
        <v>0</v>
      </c>
      <c r="T34" s="5">
        <f t="shared" si="2"/>
        <v>18</v>
      </c>
      <c r="U34" s="18">
        <f t="shared" si="3"/>
        <v>0</v>
      </c>
      <c r="V34" s="3"/>
    </row>
    <row r="35" spans="1:22" ht="26.4" customHeight="1" x14ac:dyDescent="0.3">
      <c r="A35" s="5">
        <v>31</v>
      </c>
      <c r="B35" s="5" t="s">
        <v>82</v>
      </c>
      <c r="C35" s="6" t="s">
        <v>83</v>
      </c>
      <c r="D35" s="12" t="s">
        <v>22</v>
      </c>
      <c r="E35" s="12" t="s">
        <v>22</v>
      </c>
      <c r="F35" s="5">
        <v>256</v>
      </c>
      <c r="G35" s="5">
        <v>170</v>
      </c>
      <c r="H35" s="5">
        <v>170</v>
      </c>
      <c r="I35" s="5">
        <v>141</v>
      </c>
      <c r="J35" s="7">
        <f t="shared" si="0"/>
        <v>256</v>
      </c>
      <c r="K35" s="5" t="s">
        <v>5</v>
      </c>
      <c r="L35" s="5" t="s">
        <v>23</v>
      </c>
      <c r="M35" s="8">
        <v>46239</v>
      </c>
      <c r="N35" s="8">
        <v>46380</v>
      </c>
      <c r="O35" s="15" t="s">
        <v>58</v>
      </c>
      <c r="P35" s="5">
        <f t="shared" si="1"/>
        <v>-141</v>
      </c>
      <c r="Q35" s="5" t="s">
        <v>41</v>
      </c>
      <c r="R35" s="17">
        <f>SUMIFS('تفاصيل الكميات'!$G:$G,'تفاصيل الكميات'!$A:$A,$A35)</f>
        <v>45</v>
      </c>
      <c r="S35" s="17">
        <f>SUMIFS('تفاصيل الكميات'!$H:$H,'تفاصيل الكميات'!$A:$A,$A35)</f>
        <v>0</v>
      </c>
      <c r="T35" s="5">
        <f t="shared" si="2"/>
        <v>45</v>
      </c>
      <c r="U35" s="18">
        <f t="shared" si="3"/>
        <v>0</v>
      </c>
      <c r="V35" s="3"/>
    </row>
    <row r="36" spans="1:22" x14ac:dyDescent="0.3">
      <c r="A36" s="5">
        <v>32</v>
      </c>
      <c r="B36" s="5" t="s">
        <v>82</v>
      </c>
      <c r="C36" s="6" t="s">
        <v>84</v>
      </c>
      <c r="D36" s="12" t="s">
        <v>22</v>
      </c>
      <c r="E36" s="12" t="s">
        <v>22</v>
      </c>
      <c r="F36" s="5">
        <v>256</v>
      </c>
      <c r="G36" s="5">
        <v>114</v>
      </c>
      <c r="H36" s="5" t="s">
        <v>28</v>
      </c>
      <c r="I36" s="5" t="s">
        <v>28</v>
      </c>
      <c r="J36" s="7">
        <f t="shared" si="0"/>
        <v>256</v>
      </c>
      <c r="K36" s="5" t="s">
        <v>5</v>
      </c>
      <c r="L36" s="5" t="s">
        <v>23</v>
      </c>
      <c r="M36" s="8">
        <v>46308</v>
      </c>
      <c r="N36" s="8">
        <v>46422</v>
      </c>
      <c r="O36" s="15" t="s">
        <v>58</v>
      </c>
      <c r="P36" s="5">
        <f t="shared" si="1"/>
        <v>-114</v>
      </c>
      <c r="Q36" s="5" t="s">
        <v>41</v>
      </c>
      <c r="R36" s="17">
        <f>SUMIFS('تفاصيل الكميات'!$G:$G,'تفاصيل الكميات'!$A:$A,$A36)</f>
        <v>47</v>
      </c>
      <c r="S36" s="17">
        <f>SUMIFS('تفاصيل الكميات'!$H:$H,'تفاصيل الكميات'!$A:$A,$A36)</f>
        <v>0</v>
      </c>
      <c r="T36" s="5">
        <f t="shared" si="2"/>
        <v>47</v>
      </c>
      <c r="U36" s="18">
        <f t="shared" si="3"/>
        <v>0</v>
      </c>
      <c r="V36" s="3"/>
    </row>
    <row r="37" spans="1:22" ht="26.4" customHeight="1" x14ac:dyDescent="0.3">
      <c r="A37" s="5">
        <v>33</v>
      </c>
      <c r="B37" s="5" t="s">
        <v>82</v>
      </c>
      <c r="C37" s="6" t="s">
        <v>85</v>
      </c>
      <c r="D37" s="12" t="s">
        <v>22</v>
      </c>
      <c r="E37" s="12" t="s">
        <v>22</v>
      </c>
      <c r="F37" s="5">
        <v>256</v>
      </c>
      <c r="G37" s="5">
        <v>158</v>
      </c>
      <c r="H37" s="5">
        <v>158</v>
      </c>
      <c r="I37" s="5">
        <v>138</v>
      </c>
      <c r="J37" s="7">
        <f t="shared" si="0"/>
        <v>256</v>
      </c>
      <c r="K37" s="5" t="s">
        <v>5</v>
      </c>
      <c r="L37" s="5" t="s">
        <v>23</v>
      </c>
      <c r="M37" s="8">
        <v>46267</v>
      </c>
      <c r="N37" s="8">
        <v>46405</v>
      </c>
      <c r="O37" s="15" t="s">
        <v>86</v>
      </c>
      <c r="P37" s="5">
        <f t="shared" si="1"/>
        <v>-138</v>
      </c>
      <c r="Q37" s="5" t="s">
        <v>41</v>
      </c>
      <c r="R37" s="17">
        <f>SUMIFS('تفاصيل الكميات'!$G:$G,'تفاصيل الكميات'!$A:$A,$A37)</f>
        <v>0</v>
      </c>
      <c r="S37" s="17">
        <f>SUMIFS('تفاصيل الكميات'!$H:$H,'تفاصيل الكميات'!$A:$A,$A37)</f>
        <v>0</v>
      </c>
      <c r="T37" s="5">
        <f t="shared" si="2"/>
        <v>0</v>
      </c>
      <c r="U37" s="18" t="str">
        <f t="shared" si="3"/>
        <v/>
      </c>
      <c r="V37" s="3"/>
    </row>
    <row r="38" spans="1:22" x14ac:dyDescent="0.3">
      <c r="A38" s="5">
        <v>34</v>
      </c>
      <c r="B38" s="5" t="s">
        <v>82</v>
      </c>
      <c r="C38" s="6" t="s">
        <v>87</v>
      </c>
      <c r="D38" s="12" t="s">
        <v>28</v>
      </c>
      <c r="E38" s="12" t="s">
        <v>28</v>
      </c>
      <c r="F38" s="5" t="s">
        <v>28</v>
      </c>
      <c r="G38" s="5" t="s">
        <v>28</v>
      </c>
      <c r="H38" s="5">
        <v>117</v>
      </c>
      <c r="I38" s="5">
        <v>125</v>
      </c>
      <c r="J38" s="7">
        <f t="shared" si="0"/>
        <v>125</v>
      </c>
      <c r="K38" s="5" t="s">
        <v>8</v>
      </c>
      <c r="L38" s="5" t="s">
        <v>23</v>
      </c>
      <c r="M38" s="8">
        <v>46345</v>
      </c>
      <c r="N38" s="8">
        <v>46470</v>
      </c>
      <c r="O38" s="15" t="s">
        <v>88</v>
      </c>
      <c r="P38" s="5">
        <f t="shared" si="1"/>
        <v>-125</v>
      </c>
      <c r="Q38" s="5" t="s">
        <v>188</v>
      </c>
      <c r="R38" s="5"/>
      <c r="S38" s="5"/>
      <c r="T38" s="5">
        <f t="shared" si="2"/>
        <v>0</v>
      </c>
      <c r="U38" s="18" t="str">
        <f t="shared" si="3"/>
        <v/>
      </c>
      <c r="V38" s="3"/>
    </row>
    <row r="39" spans="1:22" ht="26.4" customHeight="1" x14ac:dyDescent="0.3">
      <c r="A39" s="5">
        <v>35</v>
      </c>
      <c r="B39" s="5" t="s">
        <v>89</v>
      </c>
      <c r="C39" s="6" t="s">
        <v>90</v>
      </c>
      <c r="D39" s="12" t="s">
        <v>22</v>
      </c>
      <c r="E39" s="12" t="s">
        <v>22</v>
      </c>
      <c r="F39" s="5">
        <v>258</v>
      </c>
      <c r="G39" s="5">
        <v>186</v>
      </c>
      <c r="H39" s="5">
        <v>180</v>
      </c>
      <c r="I39" s="5">
        <v>158</v>
      </c>
      <c r="J39" s="7">
        <f t="shared" si="0"/>
        <v>258</v>
      </c>
      <c r="K39" s="5" t="s">
        <v>8</v>
      </c>
      <c r="L39" s="5" t="s">
        <v>29</v>
      </c>
      <c r="M39" s="8">
        <v>46210</v>
      </c>
      <c r="N39" s="8">
        <v>46368</v>
      </c>
      <c r="O39" s="15" t="s">
        <v>91</v>
      </c>
      <c r="P39" s="5">
        <f t="shared" si="1"/>
        <v>-158</v>
      </c>
      <c r="Q39" s="5" t="s">
        <v>188</v>
      </c>
      <c r="R39" s="5">
        <v>1</v>
      </c>
      <c r="S39" s="5"/>
      <c r="T39" s="5">
        <f t="shared" si="2"/>
        <v>1</v>
      </c>
      <c r="U39" s="18">
        <f t="shared" si="3"/>
        <v>0</v>
      </c>
      <c r="V39" s="3"/>
    </row>
    <row r="40" spans="1:22" ht="26.4" customHeight="1" x14ac:dyDescent="0.3">
      <c r="A40" s="5">
        <v>36</v>
      </c>
      <c r="B40" s="5" t="s">
        <v>92</v>
      </c>
      <c r="C40" s="6" t="s">
        <v>93</v>
      </c>
      <c r="D40" s="12" t="s">
        <v>28</v>
      </c>
      <c r="E40" s="12" t="s">
        <v>28</v>
      </c>
      <c r="F40" s="5">
        <v>217</v>
      </c>
      <c r="G40" s="5">
        <v>167</v>
      </c>
      <c r="H40" s="5" t="s">
        <v>28</v>
      </c>
      <c r="I40" s="5">
        <v>147</v>
      </c>
      <c r="J40" s="7">
        <f t="shared" si="0"/>
        <v>217</v>
      </c>
      <c r="K40" s="5" t="s">
        <v>8</v>
      </c>
      <c r="L40" s="5" t="s">
        <v>23</v>
      </c>
      <c r="M40" s="8">
        <v>46349</v>
      </c>
      <c r="N40" s="8">
        <v>46494</v>
      </c>
      <c r="O40" s="15" t="s">
        <v>94</v>
      </c>
      <c r="P40" s="5">
        <f t="shared" si="1"/>
        <v>-145</v>
      </c>
      <c r="Q40" s="5" t="s">
        <v>188</v>
      </c>
      <c r="R40" s="5">
        <v>1</v>
      </c>
      <c r="S40" s="5"/>
      <c r="T40" s="5">
        <f t="shared" si="2"/>
        <v>1</v>
      </c>
      <c r="U40" s="18">
        <f t="shared" si="3"/>
        <v>0</v>
      </c>
      <c r="V40" s="3"/>
    </row>
    <row r="41" spans="1:22" ht="26.4" customHeight="1" x14ac:dyDescent="0.3">
      <c r="A41" s="5">
        <v>37</v>
      </c>
      <c r="B41" s="5" t="s">
        <v>92</v>
      </c>
      <c r="C41" s="6" t="s">
        <v>95</v>
      </c>
      <c r="D41" s="12" t="s">
        <v>22</v>
      </c>
      <c r="E41" s="12" t="s">
        <v>22</v>
      </c>
      <c r="F41" s="5" t="s">
        <v>22</v>
      </c>
      <c r="G41" s="5">
        <v>159</v>
      </c>
      <c r="H41" s="5">
        <v>169</v>
      </c>
      <c r="I41" s="5">
        <v>145</v>
      </c>
      <c r="J41" s="7">
        <f t="shared" si="0"/>
        <v>169</v>
      </c>
      <c r="K41" s="5" t="s">
        <v>6</v>
      </c>
      <c r="L41" s="5" t="s">
        <v>23</v>
      </c>
      <c r="M41" s="8">
        <v>46207</v>
      </c>
      <c r="N41" s="8">
        <v>46352</v>
      </c>
      <c r="O41" s="15" t="s">
        <v>88</v>
      </c>
      <c r="P41" s="5">
        <f t="shared" si="1"/>
        <v>-145</v>
      </c>
      <c r="Q41" s="3" t="s">
        <v>188</v>
      </c>
      <c r="R41" s="5">
        <v>1</v>
      </c>
      <c r="S41" s="5"/>
      <c r="T41" s="5">
        <f t="shared" si="2"/>
        <v>1</v>
      </c>
      <c r="U41" s="18">
        <f t="shared" si="3"/>
        <v>0</v>
      </c>
      <c r="V41" s="3"/>
    </row>
    <row r="42" spans="1:22" ht="26.4" customHeight="1" x14ac:dyDescent="0.3">
      <c r="A42" s="5">
        <v>38</v>
      </c>
      <c r="B42" s="5" t="s">
        <v>96</v>
      </c>
      <c r="C42" s="6" t="s">
        <v>97</v>
      </c>
      <c r="D42" s="12" t="s">
        <v>22</v>
      </c>
      <c r="E42" s="12" t="s">
        <v>22</v>
      </c>
      <c r="F42" s="5">
        <v>217</v>
      </c>
      <c r="G42" s="5">
        <v>167</v>
      </c>
      <c r="H42" s="5" t="s">
        <v>28</v>
      </c>
      <c r="I42" s="5">
        <v>147</v>
      </c>
      <c r="J42" s="7">
        <f t="shared" si="0"/>
        <v>217</v>
      </c>
      <c r="K42" s="5" t="s">
        <v>8</v>
      </c>
      <c r="L42" s="5" t="s">
        <v>23</v>
      </c>
      <c r="M42" s="8">
        <v>46349</v>
      </c>
      <c r="N42" s="8">
        <v>46490</v>
      </c>
      <c r="O42" s="15" t="s">
        <v>94</v>
      </c>
      <c r="P42" s="5">
        <f t="shared" si="1"/>
        <v>-141</v>
      </c>
      <c r="Q42" s="5" t="s">
        <v>188</v>
      </c>
      <c r="R42" s="5">
        <v>1</v>
      </c>
      <c r="S42" s="5"/>
      <c r="T42" s="5">
        <f t="shared" si="2"/>
        <v>1</v>
      </c>
      <c r="U42" s="18">
        <f t="shared" si="3"/>
        <v>0</v>
      </c>
      <c r="V42" s="3"/>
    </row>
    <row r="43" spans="1:22" ht="26.4" customHeight="1" x14ac:dyDescent="0.3">
      <c r="A43" s="5">
        <v>39</v>
      </c>
      <c r="B43" s="5" t="s">
        <v>96</v>
      </c>
      <c r="C43" s="6" t="s">
        <v>98</v>
      </c>
      <c r="D43" s="12" t="s">
        <v>22</v>
      </c>
      <c r="E43" s="12" t="s">
        <v>22</v>
      </c>
      <c r="F43" s="5" t="s">
        <v>22</v>
      </c>
      <c r="G43" s="5">
        <v>210</v>
      </c>
      <c r="H43" s="5">
        <v>218</v>
      </c>
      <c r="I43" s="5">
        <v>207</v>
      </c>
      <c r="J43" s="7">
        <f t="shared" si="0"/>
        <v>218</v>
      </c>
      <c r="K43" s="5" t="s">
        <v>6</v>
      </c>
      <c r="L43" s="5" t="s">
        <v>29</v>
      </c>
      <c r="M43" s="8">
        <v>46144</v>
      </c>
      <c r="N43" s="8">
        <v>46351</v>
      </c>
      <c r="O43" s="15" t="s">
        <v>88</v>
      </c>
      <c r="P43" s="5">
        <f t="shared" si="1"/>
        <v>-207</v>
      </c>
      <c r="Q43" s="5" t="s">
        <v>188</v>
      </c>
      <c r="R43" s="5">
        <v>1</v>
      </c>
      <c r="S43" s="5"/>
      <c r="T43" s="5">
        <f t="shared" si="2"/>
        <v>1</v>
      </c>
      <c r="U43" s="18">
        <f t="shared" si="3"/>
        <v>0</v>
      </c>
      <c r="V43" s="3"/>
    </row>
    <row r="44" spans="1:22" ht="26.4" customHeight="1" x14ac:dyDescent="0.3">
      <c r="A44" s="5">
        <v>40</v>
      </c>
      <c r="B44" s="5" t="s">
        <v>99</v>
      </c>
      <c r="C44" s="6" t="s">
        <v>100</v>
      </c>
      <c r="D44" s="12" t="s">
        <v>22</v>
      </c>
      <c r="E44" s="12" t="s">
        <v>22</v>
      </c>
      <c r="F44" s="5">
        <v>256</v>
      </c>
      <c r="G44" s="5">
        <v>141</v>
      </c>
      <c r="H44" s="5">
        <v>141</v>
      </c>
      <c r="I44" s="5">
        <v>100</v>
      </c>
      <c r="J44" s="7">
        <f t="shared" si="0"/>
        <v>256</v>
      </c>
      <c r="K44" s="5" t="s">
        <v>5</v>
      </c>
      <c r="L44" s="5" t="s">
        <v>23</v>
      </c>
      <c r="M44" s="8">
        <v>46310</v>
      </c>
      <c r="N44" s="8">
        <v>46410</v>
      </c>
      <c r="O44" s="15" t="s">
        <v>101</v>
      </c>
      <c r="P44" s="5">
        <f t="shared" si="1"/>
        <v>-100</v>
      </c>
      <c r="Q44" s="5" t="s">
        <v>188</v>
      </c>
      <c r="R44" s="5">
        <v>1</v>
      </c>
      <c r="S44" s="5"/>
      <c r="T44" s="5">
        <f t="shared" si="2"/>
        <v>1</v>
      </c>
      <c r="U44" s="18">
        <f t="shared" si="3"/>
        <v>0</v>
      </c>
      <c r="V44" s="3"/>
    </row>
    <row r="45" spans="1:22" ht="26.4" customHeight="1" x14ac:dyDescent="0.3">
      <c r="A45" s="5">
        <v>41</v>
      </c>
      <c r="B45" s="5" t="s">
        <v>99</v>
      </c>
      <c r="C45" s="6" t="s">
        <v>102</v>
      </c>
      <c r="D45" s="12" t="s">
        <v>22</v>
      </c>
      <c r="E45" s="12" t="s">
        <v>22</v>
      </c>
      <c r="F45" s="5">
        <v>224</v>
      </c>
      <c r="G45" s="5">
        <v>176</v>
      </c>
      <c r="H45" s="5" t="s">
        <v>28</v>
      </c>
      <c r="I45" s="5">
        <v>161</v>
      </c>
      <c r="J45" s="7">
        <f t="shared" si="0"/>
        <v>224</v>
      </c>
      <c r="K45" s="5" t="s">
        <v>5</v>
      </c>
      <c r="L45" s="5" t="s">
        <v>23</v>
      </c>
      <c r="M45" s="8">
        <v>46320</v>
      </c>
      <c r="N45" s="8">
        <v>46433</v>
      </c>
      <c r="O45" s="15" t="s">
        <v>101</v>
      </c>
      <c r="P45" s="5">
        <f>M45-N45</f>
        <v>-113</v>
      </c>
      <c r="Q45" s="5" t="s">
        <v>41</v>
      </c>
      <c r="R45" s="5">
        <v>146</v>
      </c>
      <c r="S45" s="5"/>
      <c r="T45" s="5">
        <f t="shared" si="2"/>
        <v>146</v>
      </c>
      <c r="U45" s="18">
        <f t="shared" si="3"/>
        <v>0</v>
      </c>
      <c r="V45" s="3"/>
    </row>
    <row r="46" spans="1:22" x14ac:dyDescent="0.3">
      <c r="V46" s="3"/>
    </row>
    <row r="47" spans="1:22" x14ac:dyDescent="0.3">
      <c r="B47" s="9"/>
    </row>
    <row r="48" spans="1:22" x14ac:dyDescent="0.3">
      <c r="B48" s="9"/>
    </row>
    <row r="49" spans="2:2" x14ac:dyDescent="0.3">
      <c r="B49" s="9"/>
    </row>
    <row r="50" spans="2:2" x14ac:dyDescent="0.3">
      <c r="B50" s="9"/>
    </row>
  </sheetData>
  <autoFilter ref="A4:V45" xr:uid="{00000000-0009-0000-0000-000000000000}"/>
  <conditionalFormatting sqref="D5:I45">
    <cfRule type="colorScale" priority="1">
      <colorScale>
        <cfvo type="num" val="1"/>
        <cfvo type="num" val="150"/>
        <cfvo type="num" val="280"/>
        <color rgb="FFFCE8B2"/>
        <color rgb="FFF4A261"/>
        <color rgb="FFD9534F"/>
      </colorScale>
    </cfRule>
    <cfRule type="cellIs" dxfId="3" priority="2" operator="equal">
      <formula>"مكتمل"</formula>
    </cfRule>
  </conditionalFormatting>
  <conditionalFormatting sqref="U5:U45">
    <cfRule type="cellIs" dxfId="2" priority="3" operator="equal">
      <formula>1</formula>
    </cfRule>
    <cfRule type="cellIs" dxfId="1" priority="4" operator="between">
      <formula>0.5</formula>
      <formula>0.9999</formula>
    </cfRule>
    <cfRule type="cellIs" dxfId="0" priority="5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&amp;R&amp;"Aptos"&amp;10 &amp;K000000_x000D_# Data sensitivity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8" customWidth="1"/>
    <col min="3" max="3" width="24" customWidth="1"/>
    <col min="4" max="4" width="10" customWidth="1"/>
    <col min="5" max="5" width="48" customWidth="1"/>
    <col min="6" max="6" width="9" customWidth="1"/>
    <col min="7" max="7" width="14" customWidth="1"/>
    <col min="8" max="8" width="16" customWidth="1"/>
    <col min="9" max="9" width="14" customWidth="1"/>
    <col min="10" max="10" width="12" customWidth="1"/>
    <col min="11" max="11" width="38" customWidth="1"/>
  </cols>
  <sheetData>
    <row r="1" spans="1:11" ht="33" customHeight="1" x14ac:dyDescent="0.3">
      <c r="A1" s="19" t="s">
        <v>103</v>
      </c>
      <c r="B1" s="19" t="s">
        <v>104</v>
      </c>
      <c r="C1" s="19" t="s">
        <v>105</v>
      </c>
      <c r="D1" s="19" t="s">
        <v>106</v>
      </c>
      <c r="E1" s="19" t="s">
        <v>107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108</v>
      </c>
    </row>
    <row r="2" spans="1:11" x14ac:dyDescent="0.3">
      <c r="A2" s="20">
        <v>3</v>
      </c>
      <c r="B2" s="20" t="s">
        <v>27</v>
      </c>
      <c r="C2" s="20" t="s">
        <v>109</v>
      </c>
      <c r="D2" s="20" t="s">
        <v>110</v>
      </c>
      <c r="E2" s="20" t="s">
        <v>111</v>
      </c>
      <c r="F2" s="20" t="s">
        <v>31</v>
      </c>
      <c r="G2" s="21">
        <v>1500</v>
      </c>
      <c r="H2" s="21">
        <v>1300</v>
      </c>
      <c r="I2" s="21">
        <f t="shared" ref="I2:I35" si="0">MAX(0,G2-H2)</f>
        <v>200</v>
      </c>
      <c r="J2" s="22">
        <f t="shared" ref="J2:J35" si="1">IF(G2=0,"",(G2-I2)/G2)</f>
        <v>0.8666666666666667</v>
      </c>
      <c r="K2" s="20"/>
    </row>
    <row r="3" spans="1:11" x14ac:dyDescent="0.3">
      <c r="A3" s="20">
        <v>3</v>
      </c>
      <c r="B3" s="20" t="s">
        <v>27</v>
      </c>
      <c r="C3" s="20" t="s">
        <v>109</v>
      </c>
      <c r="D3" s="20" t="s">
        <v>112</v>
      </c>
      <c r="E3" s="20" t="s">
        <v>113</v>
      </c>
      <c r="F3" s="20" t="s">
        <v>31</v>
      </c>
      <c r="G3" s="21">
        <v>11000</v>
      </c>
      <c r="H3" s="21">
        <v>7000</v>
      </c>
      <c r="I3" s="21">
        <f t="shared" si="0"/>
        <v>4000</v>
      </c>
      <c r="J3" s="22">
        <f t="shared" si="1"/>
        <v>0.63636363636363635</v>
      </c>
      <c r="K3" s="20"/>
    </row>
    <row r="4" spans="1:11" x14ac:dyDescent="0.3">
      <c r="A4" s="20">
        <v>7</v>
      </c>
      <c r="B4" s="20" t="s">
        <v>39</v>
      </c>
      <c r="C4" s="20" t="s">
        <v>109</v>
      </c>
      <c r="D4" s="20" t="s">
        <v>114</v>
      </c>
      <c r="E4" s="20" t="s">
        <v>115</v>
      </c>
      <c r="F4" s="20" t="s">
        <v>41</v>
      </c>
      <c r="G4" s="21">
        <v>3399</v>
      </c>
      <c r="H4" s="21">
        <v>0</v>
      </c>
      <c r="I4" s="21">
        <f t="shared" si="0"/>
        <v>3399</v>
      </c>
      <c r="J4" s="22">
        <f t="shared" si="1"/>
        <v>0</v>
      </c>
      <c r="K4" s="20" t="s">
        <v>116</v>
      </c>
    </row>
    <row r="5" spans="1:11" x14ac:dyDescent="0.3">
      <c r="A5" s="20">
        <v>8</v>
      </c>
      <c r="B5" s="20" t="s">
        <v>42</v>
      </c>
      <c r="C5" s="20" t="s">
        <v>109</v>
      </c>
      <c r="D5" s="20" t="s">
        <v>117</v>
      </c>
      <c r="E5" s="20" t="s">
        <v>118</v>
      </c>
      <c r="F5" s="20" t="s">
        <v>41</v>
      </c>
      <c r="G5" s="21">
        <v>77</v>
      </c>
      <c r="H5" s="21">
        <v>0</v>
      </c>
      <c r="I5" s="21">
        <f t="shared" si="0"/>
        <v>77</v>
      </c>
      <c r="J5" s="22">
        <f t="shared" si="1"/>
        <v>0</v>
      </c>
      <c r="K5" s="20"/>
    </row>
    <row r="6" spans="1:11" x14ac:dyDescent="0.3">
      <c r="A6" s="20">
        <v>9</v>
      </c>
      <c r="B6" s="20" t="s">
        <v>43</v>
      </c>
      <c r="C6" s="20" t="s">
        <v>109</v>
      </c>
      <c r="D6" s="20" t="s">
        <v>119</v>
      </c>
      <c r="E6" s="20" t="s">
        <v>120</v>
      </c>
      <c r="F6" s="20" t="s">
        <v>41</v>
      </c>
      <c r="G6" s="21">
        <v>77</v>
      </c>
      <c r="H6" s="21">
        <v>0</v>
      </c>
      <c r="I6" s="21">
        <f t="shared" si="0"/>
        <v>77</v>
      </c>
      <c r="J6" s="22">
        <f t="shared" si="1"/>
        <v>0</v>
      </c>
      <c r="K6" s="20"/>
    </row>
    <row r="7" spans="1:11" x14ac:dyDescent="0.3">
      <c r="A7" s="20">
        <v>18</v>
      </c>
      <c r="B7" s="20" t="s">
        <v>57</v>
      </c>
      <c r="C7" s="20" t="s">
        <v>121</v>
      </c>
      <c r="D7" s="20" t="s">
        <v>122</v>
      </c>
      <c r="E7" s="20" t="s">
        <v>123</v>
      </c>
      <c r="F7" s="20" t="s">
        <v>124</v>
      </c>
      <c r="G7" s="21">
        <v>12</v>
      </c>
      <c r="H7" s="21">
        <v>0</v>
      </c>
      <c r="I7" s="21">
        <f t="shared" si="0"/>
        <v>12</v>
      </c>
      <c r="J7" s="22">
        <f t="shared" si="1"/>
        <v>0</v>
      </c>
      <c r="K7" s="20"/>
    </row>
    <row r="8" spans="1:11" x14ac:dyDescent="0.3">
      <c r="A8" s="20">
        <v>18</v>
      </c>
      <c r="B8" s="20" t="s">
        <v>57</v>
      </c>
      <c r="C8" s="20" t="s">
        <v>121</v>
      </c>
      <c r="D8" s="20" t="s">
        <v>125</v>
      </c>
      <c r="E8" s="20" t="s">
        <v>126</v>
      </c>
      <c r="F8" s="20" t="s">
        <v>124</v>
      </c>
      <c r="G8" s="21">
        <v>7</v>
      </c>
      <c r="H8" s="21">
        <v>0</v>
      </c>
      <c r="I8" s="21">
        <f t="shared" si="0"/>
        <v>7</v>
      </c>
      <c r="J8" s="22">
        <f t="shared" si="1"/>
        <v>0</v>
      </c>
      <c r="K8" s="20"/>
    </row>
    <row r="9" spans="1:11" x14ac:dyDescent="0.3">
      <c r="A9" s="20">
        <v>18</v>
      </c>
      <c r="B9" s="20" t="s">
        <v>57</v>
      </c>
      <c r="C9" s="20" t="s">
        <v>121</v>
      </c>
      <c r="D9" s="20" t="s">
        <v>127</v>
      </c>
      <c r="E9" s="20" t="s">
        <v>128</v>
      </c>
      <c r="F9" s="20" t="s">
        <v>124</v>
      </c>
      <c r="G9" s="21">
        <v>12</v>
      </c>
      <c r="H9" s="21">
        <v>0</v>
      </c>
      <c r="I9" s="21">
        <f t="shared" si="0"/>
        <v>12</v>
      </c>
      <c r="J9" s="22">
        <f t="shared" si="1"/>
        <v>0</v>
      </c>
      <c r="K9" s="20"/>
    </row>
    <row r="10" spans="1:11" x14ac:dyDescent="0.3">
      <c r="A10" s="20">
        <v>18</v>
      </c>
      <c r="B10" s="20" t="s">
        <v>57</v>
      </c>
      <c r="C10" s="20" t="s">
        <v>121</v>
      </c>
      <c r="D10" s="20" t="s">
        <v>129</v>
      </c>
      <c r="E10" s="20" t="s">
        <v>130</v>
      </c>
      <c r="F10" s="20" t="s">
        <v>124</v>
      </c>
      <c r="G10" s="21">
        <v>7</v>
      </c>
      <c r="H10" s="21">
        <v>0</v>
      </c>
      <c r="I10" s="21">
        <f t="shared" si="0"/>
        <v>7</v>
      </c>
      <c r="J10" s="22">
        <f t="shared" si="1"/>
        <v>0</v>
      </c>
      <c r="K10" s="20"/>
    </row>
    <row r="11" spans="1:11" ht="39.6" x14ac:dyDescent="0.3">
      <c r="A11" s="20">
        <v>18</v>
      </c>
      <c r="B11" s="20" t="s">
        <v>57</v>
      </c>
      <c r="C11" s="20" t="s">
        <v>121</v>
      </c>
      <c r="D11" s="20" t="s">
        <v>131</v>
      </c>
      <c r="E11" s="20" t="s">
        <v>132</v>
      </c>
      <c r="F11" s="20" t="s">
        <v>124</v>
      </c>
      <c r="G11" s="21">
        <v>53</v>
      </c>
      <c r="H11" s="21">
        <v>0</v>
      </c>
      <c r="I11" s="21">
        <f t="shared" si="0"/>
        <v>53</v>
      </c>
      <c r="J11" s="22">
        <f t="shared" si="1"/>
        <v>0</v>
      </c>
      <c r="K11" s="20"/>
    </row>
    <row r="12" spans="1:11" x14ac:dyDescent="0.3">
      <c r="A12" s="20">
        <v>19</v>
      </c>
      <c r="B12" s="20" t="s">
        <v>59</v>
      </c>
      <c r="C12" s="20" t="s">
        <v>121</v>
      </c>
      <c r="D12" s="20" t="s">
        <v>133</v>
      </c>
      <c r="E12" s="20" t="s">
        <v>134</v>
      </c>
      <c r="F12" s="20" t="s">
        <v>135</v>
      </c>
      <c r="G12" s="21">
        <v>3863.91</v>
      </c>
      <c r="H12" s="21">
        <v>0</v>
      </c>
      <c r="I12" s="21">
        <f t="shared" si="0"/>
        <v>3863.91</v>
      </c>
      <c r="J12" s="22">
        <f t="shared" si="1"/>
        <v>0</v>
      </c>
      <c r="K12" s="20"/>
    </row>
    <row r="13" spans="1:11" x14ac:dyDescent="0.3">
      <c r="A13" s="20">
        <v>19</v>
      </c>
      <c r="B13" s="20" t="s">
        <v>59</v>
      </c>
      <c r="C13" s="20" t="s">
        <v>121</v>
      </c>
      <c r="D13" s="20" t="s">
        <v>136</v>
      </c>
      <c r="E13" s="20" t="s">
        <v>137</v>
      </c>
      <c r="F13" s="20" t="s">
        <v>135</v>
      </c>
      <c r="G13" s="21">
        <v>1889.47</v>
      </c>
      <c r="H13" s="21">
        <v>0</v>
      </c>
      <c r="I13" s="21">
        <f t="shared" si="0"/>
        <v>1889.47</v>
      </c>
      <c r="J13" s="22">
        <f t="shared" si="1"/>
        <v>0</v>
      </c>
      <c r="K13" s="20"/>
    </row>
    <row r="14" spans="1:11" x14ac:dyDescent="0.3">
      <c r="A14" s="20">
        <v>19</v>
      </c>
      <c r="B14" s="20" t="s">
        <v>59</v>
      </c>
      <c r="C14" s="20" t="s">
        <v>121</v>
      </c>
      <c r="D14" s="20" t="s">
        <v>138</v>
      </c>
      <c r="E14" s="20" t="s">
        <v>139</v>
      </c>
      <c r="F14" s="20" t="s">
        <v>135</v>
      </c>
      <c r="G14" s="21">
        <v>228.19</v>
      </c>
      <c r="H14" s="21">
        <v>0</v>
      </c>
      <c r="I14" s="21">
        <f t="shared" si="0"/>
        <v>228.19</v>
      </c>
      <c r="J14" s="22">
        <f t="shared" si="1"/>
        <v>0</v>
      </c>
      <c r="K14" s="20" t="s">
        <v>140</v>
      </c>
    </row>
    <row r="15" spans="1:11" x14ac:dyDescent="0.3">
      <c r="A15" s="20">
        <v>21</v>
      </c>
      <c r="B15" s="20" t="s">
        <v>64</v>
      </c>
      <c r="C15" s="20" t="s">
        <v>109</v>
      </c>
      <c r="D15" s="20" t="s">
        <v>141</v>
      </c>
      <c r="E15" s="20" t="s">
        <v>142</v>
      </c>
      <c r="F15" s="20" t="s">
        <v>41</v>
      </c>
      <c r="G15" s="21">
        <v>42</v>
      </c>
      <c r="H15" s="21">
        <v>42</v>
      </c>
      <c r="I15" s="21">
        <f t="shared" si="0"/>
        <v>0</v>
      </c>
      <c r="J15" s="22">
        <f t="shared" si="1"/>
        <v>1</v>
      </c>
      <c r="K15" s="20"/>
    </row>
    <row r="16" spans="1:11" ht="26.4" x14ac:dyDescent="0.3">
      <c r="A16" s="20">
        <v>22</v>
      </c>
      <c r="B16" s="20" t="s">
        <v>67</v>
      </c>
      <c r="C16" s="20" t="s">
        <v>121</v>
      </c>
      <c r="D16" s="20" t="s">
        <v>143</v>
      </c>
      <c r="E16" s="20" t="s">
        <v>144</v>
      </c>
      <c r="F16" s="20" t="s">
        <v>135</v>
      </c>
      <c r="G16" s="21">
        <v>1172.2370000000001</v>
      </c>
      <c r="H16" s="21">
        <v>1200</v>
      </c>
      <c r="I16" s="21">
        <f t="shared" si="0"/>
        <v>0</v>
      </c>
      <c r="J16" s="22">
        <f t="shared" si="1"/>
        <v>1</v>
      </c>
      <c r="K16" s="20"/>
    </row>
    <row r="17" spans="1:11" ht="26.4" x14ac:dyDescent="0.3">
      <c r="A17" s="20">
        <v>22</v>
      </c>
      <c r="B17" s="20" t="s">
        <v>67</v>
      </c>
      <c r="C17" s="20" t="s">
        <v>121</v>
      </c>
      <c r="D17" s="20" t="s">
        <v>145</v>
      </c>
      <c r="E17" s="20" t="s">
        <v>146</v>
      </c>
      <c r="F17" s="20" t="s">
        <v>135</v>
      </c>
      <c r="G17" s="21">
        <v>1227.68</v>
      </c>
      <c r="H17" s="21">
        <v>0</v>
      </c>
      <c r="I17" s="21">
        <f t="shared" si="0"/>
        <v>1227.68</v>
      </c>
      <c r="J17" s="22">
        <f t="shared" si="1"/>
        <v>0</v>
      </c>
      <c r="K17" s="20"/>
    </row>
    <row r="18" spans="1:11" ht="26.4" x14ac:dyDescent="0.3">
      <c r="A18" s="20">
        <v>22</v>
      </c>
      <c r="B18" s="20" t="s">
        <v>67</v>
      </c>
      <c r="C18" s="20" t="s">
        <v>121</v>
      </c>
      <c r="D18" s="20" t="s">
        <v>147</v>
      </c>
      <c r="E18" s="20" t="s">
        <v>148</v>
      </c>
      <c r="F18" s="20" t="s">
        <v>135</v>
      </c>
      <c r="G18" s="21">
        <v>89.677000000000007</v>
      </c>
      <c r="H18" s="21">
        <v>0</v>
      </c>
      <c r="I18" s="21">
        <f t="shared" si="0"/>
        <v>89.677000000000007</v>
      </c>
      <c r="J18" s="22">
        <f t="shared" si="1"/>
        <v>0</v>
      </c>
      <c r="K18" s="20"/>
    </row>
    <row r="19" spans="1:11" x14ac:dyDescent="0.3">
      <c r="A19" s="20">
        <v>24</v>
      </c>
      <c r="B19" s="20" t="s">
        <v>70</v>
      </c>
      <c r="C19" s="20" t="s">
        <v>109</v>
      </c>
      <c r="D19" s="20" t="s">
        <v>149</v>
      </c>
      <c r="E19" s="20" t="s">
        <v>150</v>
      </c>
      <c r="F19" s="20" t="s">
        <v>41</v>
      </c>
      <c r="G19" s="21">
        <v>54</v>
      </c>
      <c r="H19" s="21">
        <v>50</v>
      </c>
      <c r="I19" s="21">
        <f t="shared" si="0"/>
        <v>4</v>
      </c>
      <c r="J19" s="22">
        <f t="shared" si="1"/>
        <v>0.92592592592592593</v>
      </c>
      <c r="K19" s="20"/>
    </row>
    <row r="20" spans="1:11" x14ac:dyDescent="0.3">
      <c r="A20" s="20">
        <v>27</v>
      </c>
      <c r="B20" s="20" t="s">
        <v>76</v>
      </c>
      <c r="C20" s="20" t="s">
        <v>109</v>
      </c>
      <c r="D20" s="20" t="s">
        <v>151</v>
      </c>
      <c r="E20" s="20" t="s">
        <v>152</v>
      </c>
      <c r="F20" s="20" t="s">
        <v>41</v>
      </c>
      <c r="G20" s="21">
        <v>201</v>
      </c>
      <c r="H20" s="21">
        <v>0</v>
      </c>
      <c r="I20" s="21">
        <f t="shared" si="0"/>
        <v>201</v>
      </c>
      <c r="J20" s="22">
        <f t="shared" si="1"/>
        <v>0</v>
      </c>
      <c r="K20" s="20"/>
    </row>
    <row r="21" spans="1:11" x14ac:dyDescent="0.3">
      <c r="A21" s="20">
        <v>29</v>
      </c>
      <c r="B21" s="20" t="s">
        <v>80</v>
      </c>
      <c r="C21" s="20" t="s">
        <v>121</v>
      </c>
      <c r="D21" s="20" t="s">
        <v>153</v>
      </c>
      <c r="E21" s="20" t="s">
        <v>154</v>
      </c>
      <c r="F21" s="20" t="s">
        <v>135</v>
      </c>
      <c r="G21" s="21">
        <v>2826.1100000000042</v>
      </c>
      <c r="H21" s="21">
        <v>2736</v>
      </c>
      <c r="I21" s="21">
        <f t="shared" si="0"/>
        <v>90.11000000000422</v>
      </c>
      <c r="J21" s="22">
        <f t="shared" si="1"/>
        <v>0.96811518306081357</v>
      </c>
      <c r="K21" s="20" t="s">
        <v>155</v>
      </c>
    </row>
    <row r="22" spans="1:11" x14ac:dyDescent="0.3">
      <c r="A22" s="20">
        <v>29</v>
      </c>
      <c r="B22" s="20" t="s">
        <v>80</v>
      </c>
      <c r="C22" s="20" t="s">
        <v>121</v>
      </c>
      <c r="D22" s="20" t="s">
        <v>156</v>
      </c>
      <c r="E22" s="20" t="s">
        <v>157</v>
      </c>
      <c r="F22" s="20" t="s">
        <v>135</v>
      </c>
      <c r="G22" s="21">
        <v>691.29</v>
      </c>
      <c r="H22" s="21">
        <v>864</v>
      </c>
      <c r="I22" s="21">
        <f t="shared" si="0"/>
        <v>0</v>
      </c>
      <c r="J22" s="22">
        <f t="shared" si="1"/>
        <v>1</v>
      </c>
      <c r="K22" s="20"/>
    </row>
    <row r="23" spans="1:11" x14ac:dyDescent="0.3">
      <c r="A23" s="20">
        <v>29</v>
      </c>
      <c r="B23" s="20" t="s">
        <v>80</v>
      </c>
      <c r="C23" s="20" t="s">
        <v>121</v>
      </c>
      <c r="D23" s="20" t="s">
        <v>158</v>
      </c>
      <c r="E23" s="20" t="s">
        <v>159</v>
      </c>
      <c r="F23" s="20" t="s">
        <v>135</v>
      </c>
      <c r="G23" s="21">
        <v>173</v>
      </c>
      <c r="H23" s="21">
        <v>0</v>
      </c>
      <c r="I23" s="21">
        <f t="shared" si="0"/>
        <v>173</v>
      </c>
      <c r="J23" s="22">
        <f t="shared" si="1"/>
        <v>0</v>
      </c>
      <c r="K23" s="20"/>
    </row>
    <row r="24" spans="1:11" x14ac:dyDescent="0.3">
      <c r="A24" s="20">
        <v>29</v>
      </c>
      <c r="B24" s="20" t="s">
        <v>80</v>
      </c>
      <c r="C24" s="20" t="s">
        <v>121</v>
      </c>
      <c r="D24" s="20" t="s">
        <v>160</v>
      </c>
      <c r="E24" s="20" t="s">
        <v>161</v>
      </c>
      <c r="F24" s="20" t="s">
        <v>135</v>
      </c>
      <c r="G24" s="21">
        <v>92</v>
      </c>
      <c r="H24" s="21">
        <v>0</v>
      </c>
      <c r="I24" s="21">
        <f t="shared" si="0"/>
        <v>92</v>
      </c>
      <c r="J24" s="22">
        <f t="shared" si="1"/>
        <v>0</v>
      </c>
      <c r="K24" s="20"/>
    </row>
    <row r="25" spans="1:11" x14ac:dyDescent="0.3">
      <c r="A25" s="20">
        <v>29</v>
      </c>
      <c r="B25" s="20" t="s">
        <v>80</v>
      </c>
      <c r="C25" s="20" t="s">
        <v>121</v>
      </c>
      <c r="D25" s="20" t="s">
        <v>162</v>
      </c>
      <c r="E25" s="20" t="s">
        <v>163</v>
      </c>
      <c r="F25" s="20" t="s">
        <v>135</v>
      </c>
      <c r="G25" s="21">
        <v>118</v>
      </c>
      <c r="H25" s="21">
        <v>168</v>
      </c>
      <c r="I25" s="21">
        <f t="shared" si="0"/>
        <v>0</v>
      </c>
      <c r="J25" s="22">
        <f t="shared" si="1"/>
        <v>1</v>
      </c>
      <c r="K25" s="20"/>
    </row>
    <row r="26" spans="1:11" x14ac:dyDescent="0.3">
      <c r="A26" s="20">
        <v>29</v>
      </c>
      <c r="B26" s="20" t="s">
        <v>80</v>
      </c>
      <c r="C26" s="20" t="s">
        <v>121</v>
      </c>
      <c r="D26" s="20" t="s">
        <v>164</v>
      </c>
      <c r="E26" s="20" t="s">
        <v>165</v>
      </c>
      <c r="F26" s="20" t="s">
        <v>135</v>
      </c>
      <c r="G26" s="21">
        <v>362</v>
      </c>
      <c r="H26" s="21">
        <v>0</v>
      </c>
      <c r="I26" s="21">
        <f t="shared" si="0"/>
        <v>362</v>
      </c>
      <c r="J26" s="22">
        <f t="shared" si="1"/>
        <v>0</v>
      </c>
      <c r="K26" s="20"/>
    </row>
    <row r="27" spans="1:11" x14ac:dyDescent="0.3">
      <c r="A27" s="20">
        <v>29</v>
      </c>
      <c r="B27" s="20" t="s">
        <v>80</v>
      </c>
      <c r="C27" s="20" t="s">
        <v>121</v>
      </c>
      <c r="D27" s="20" t="s">
        <v>166</v>
      </c>
      <c r="E27" s="20" t="s">
        <v>167</v>
      </c>
      <c r="F27" s="20" t="s">
        <v>135</v>
      </c>
      <c r="G27" s="21">
        <v>720</v>
      </c>
      <c r="H27" s="21">
        <v>755</v>
      </c>
      <c r="I27" s="21">
        <f t="shared" si="0"/>
        <v>0</v>
      </c>
      <c r="J27" s="22">
        <f t="shared" si="1"/>
        <v>1</v>
      </c>
      <c r="K27" s="20"/>
    </row>
    <row r="28" spans="1:11" x14ac:dyDescent="0.3">
      <c r="A28" s="20">
        <v>30</v>
      </c>
      <c r="B28" s="20" t="s">
        <v>83</v>
      </c>
      <c r="C28" s="20" t="s">
        <v>121</v>
      </c>
      <c r="D28" s="20" t="s">
        <v>168</v>
      </c>
      <c r="E28" s="20" t="s">
        <v>169</v>
      </c>
      <c r="F28" s="20" t="s">
        <v>124</v>
      </c>
      <c r="G28" s="21">
        <v>18</v>
      </c>
      <c r="H28" s="21">
        <v>0</v>
      </c>
      <c r="I28" s="21">
        <f t="shared" si="0"/>
        <v>18</v>
      </c>
      <c r="J28" s="22">
        <f t="shared" si="1"/>
        <v>0</v>
      </c>
      <c r="K28" s="20"/>
    </row>
    <row r="29" spans="1:11" x14ac:dyDescent="0.3">
      <c r="A29" s="20">
        <v>31</v>
      </c>
      <c r="B29" s="20" t="s">
        <v>84</v>
      </c>
      <c r="C29" s="20" t="s">
        <v>121</v>
      </c>
      <c r="D29" s="20" t="s">
        <v>170</v>
      </c>
      <c r="E29" s="20" t="s">
        <v>171</v>
      </c>
      <c r="F29" s="20" t="s">
        <v>172</v>
      </c>
      <c r="G29" s="21">
        <v>45</v>
      </c>
      <c r="H29" s="21">
        <v>0</v>
      </c>
      <c r="I29" s="21">
        <f t="shared" si="0"/>
        <v>45</v>
      </c>
      <c r="J29" s="22">
        <f t="shared" si="1"/>
        <v>0</v>
      </c>
      <c r="K29" s="20"/>
    </row>
    <row r="30" spans="1:11" x14ac:dyDescent="0.3">
      <c r="A30" s="20">
        <v>32</v>
      </c>
      <c r="B30" s="20" t="s">
        <v>85</v>
      </c>
      <c r="C30" s="20" t="s">
        <v>121</v>
      </c>
      <c r="D30" s="20" t="s">
        <v>173</v>
      </c>
      <c r="E30" s="20" t="s">
        <v>174</v>
      </c>
      <c r="F30" s="20" t="s">
        <v>124</v>
      </c>
      <c r="G30" s="21">
        <v>18</v>
      </c>
      <c r="H30" s="21">
        <v>0</v>
      </c>
      <c r="I30" s="21">
        <f t="shared" si="0"/>
        <v>18</v>
      </c>
      <c r="J30" s="22">
        <f t="shared" si="1"/>
        <v>0</v>
      </c>
      <c r="K30" s="20"/>
    </row>
    <row r="31" spans="1:11" x14ac:dyDescent="0.3">
      <c r="A31" s="20">
        <v>32</v>
      </c>
      <c r="B31" s="20" t="s">
        <v>85</v>
      </c>
      <c r="C31" s="20" t="s">
        <v>121</v>
      </c>
      <c r="D31" s="20" t="s">
        <v>175</v>
      </c>
      <c r="E31" s="20" t="s">
        <v>176</v>
      </c>
      <c r="F31" s="20" t="s">
        <v>172</v>
      </c>
      <c r="G31" s="21">
        <v>15</v>
      </c>
      <c r="H31" s="21">
        <v>0</v>
      </c>
      <c r="I31" s="21">
        <f t="shared" si="0"/>
        <v>15</v>
      </c>
      <c r="J31" s="22">
        <f t="shared" si="1"/>
        <v>0</v>
      </c>
      <c r="K31" s="20"/>
    </row>
    <row r="32" spans="1:11" x14ac:dyDescent="0.3">
      <c r="A32" s="20">
        <v>32</v>
      </c>
      <c r="B32" s="20" t="s">
        <v>85</v>
      </c>
      <c r="C32" s="20" t="s">
        <v>121</v>
      </c>
      <c r="D32" s="20" t="s">
        <v>177</v>
      </c>
      <c r="E32" s="20" t="s">
        <v>178</v>
      </c>
      <c r="F32" s="20" t="s">
        <v>172</v>
      </c>
      <c r="G32" s="21">
        <v>10</v>
      </c>
      <c r="H32" s="21">
        <v>0</v>
      </c>
      <c r="I32" s="21">
        <f t="shared" si="0"/>
        <v>10</v>
      </c>
      <c r="J32" s="22">
        <f t="shared" si="1"/>
        <v>0</v>
      </c>
      <c r="K32" s="20"/>
    </row>
    <row r="33" spans="1:11" x14ac:dyDescent="0.3">
      <c r="A33" s="20">
        <v>32</v>
      </c>
      <c r="B33" s="20" t="s">
        <v>85</v>
      </c>
      <c r="C33" s="20" t="s">
        <v>121</v>
      </c>
      <c r="D33" s="20" t="s">
        <v>179</v>
      </c>
      <c r="E33" s="20" t="s">
        <v>180</v>
      </c>
      <c r="F33" s="20" t="s">
        <v>124</v>
      </c>
      <c r="G33" s="21">
        <v>1</v>
      </c>
      <c r="H33" s="21">
        <v>0</v>
      </c>
      <c r="I33" s="21">
        <f t="shared" si="0"/>
        <v>1</v>
      </c>
      <c r="J33" s="22">
        <f t="shared" si="1"/>
        <v>0</v>
      </c>
      <c r="K33" s="20"/>
    </row>
    <row r="34" spans="1:11" x14ac:dyDescent="0.3">
      <c r="A34" s="20">
        <v>32</v>
      </c>
      <c r="B34" s="20" t="s">
        <v>85</v>
      </c>
      <c r="C34" s="20" t="s">
        <v>121</v>
      </c>
      <c r="D34" s="20" t="s">
        <v>181</v>
      </c>
      <c r="E34" s="20" t="s">
        <v>182</v>
      </c>
      <c r="F34" s="20" t="s">
        <v>124</v>
      </c>
      <c r="G34" s="21">
        <v>1</v>
      </c>
      <c r="H34" s="21">
        <v>0</v>
      </c>
      <c r="I34" s="21">
        <f t="shared" si="0"/>
        <v>1</v>
      </c>
      <c r="J34" s="22">
        <f t="shared" si="1"/>
        <v>0</v>
      </c>
      <c r="K34" s="20"/>
    </row>
    <row r="35" spans="1:11" ht="26.4" x14ac:dyDescent="0.3">
      <c r="A35" s="20">
        <v>32</v>
      </c>
      <c r="B35" s="20" t="s">
        <v>85</v>
      </c>
      <c r="C35" s="20" t="s">
        <v>121</v>
      </c>
      <c r="D35" s="20" t="s">
        <v>183</v>
      </c>
      <c r="E35" s="20" t="s">
        <v>184</v>
      </c>
      <c r="F35" s="20" t="s">
        <v>124</v>
      </c>
      <c r="G35" s="21">
        <v>2</v>
      </c>
      <c r="H35" s="21">
        <v>0</v>
      </c>
      <c r="I35" s="21">
        <f t="shared" si="0"/>
        <v>2</v>
      </c>
      <c r="J35" s="22">
        <f t="shared" si="1"/>
        <v>0</v>
      </c>
      <c r="K35" s="20"/>
    </row>
  </sheetData>
  <autoFilter ref="A1:K3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 البنود</vt:lpstr>
      <vt:lpstr>تفاصيل الكميات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A. El-Shekh (Contractor)</dc:creator>
  <cp:lastModifiedBy>Ahmed Gomaa Mohamed</cp:lastModifiedBy>
  <dcterms:created xsi:type="dcterms:W3CDTF">2026-10-08T07:50:25Z</dcterms:created>
  <dcterms:modified xsi:type="dcterms:W3CDTF">2026-10-15T11:13:28Z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  <property fmtid="{D5CDD505-2E9C-101B-9397-08002B2CF9AE}" pid="8" name="MSIP_Label_c294d68a-d2f5-40e0-927d-026bfab8fc4b_Enabled">
    <vt:lpwstr>true</vt:lpwstr>
  </property>
  <property fmtid="{D5CDD505-2E9C-101B-9397-08002B2CF9AE}" pid="9" name="MSIP_Label_c294d68a-d2f5-40e0-927d-026bfab8fc4b_SetDate">
    <vt:lpwstr>2026-10-08T10:01:13Z</vt:lpwstr>
  </property>
  <property fmtid="{D5CDD505-2E9C-101B-9397-08002B2CF9AE}" pid="10" name="MSIP_Label_c294d68a-d2f5-40e0-927d-026bfab8fc4b_Method">
    <vt:lpwstr>Privileged</vt:lpwstr>
  </property>
  <property fmtid="{D5CDD505-2E9C-101B-9397-08002B2CF9AE}" pid="11" name="MSIP_Label_c294d68a-d2f5-40e0-927d-026bfab8fc4b_Name">
    <vt:lpwstr>l1_internal</vt:lpwstr>
  </property>
  <property fmtid="{D5CDD505-2E9C-101B-9397-08002B2CF9AE}" pid="12" name="MSIP_Label_c294d68a-d2f5-40e0-927d-026bfab8fc4b_SiteId">
    <vt:lpwstr>a5877034-8d6a-496a-8cf8-ceb5e3451109</vt:lpwstr>
  </property>
  <property fmtid="{D5CDD505-2E9C-101B-9397-08002B2CF9AE}" pid="13" name="MSIP_Label_c294d68a-d2f5-40e0-927d-026bfab8fc4b_ActionId">
    <vt:lpwstr>80cdd4f1-a1e3-4800-8900-cf3904fccee1</vt:lpwstr>
  </property>
  <property fmtid="{D5CDD505-2E9C-101B-9397-08002B2CF9AE}" pid="14" name="MSIP_Label_c294d68a-d2f5-40e0-927d-026bfab8fc4b_ContentBits">
    <vt:lpwstr>2</vt:lpwstr>
  </property>
  <property fmtid="{D5CDD505-2E9C-101B-9397-08002B2CF9AE}" pid="15" name="MSIP_Label_c294d68a-d2f5-40e0-927d-026bfab8fc4b_Tag">
    <vt:lpwstr>10, 0, 1, 1</vt:lpwstr>
  </property>
  <property fmtid="{D5CDD505-2E9C-101B-9397-08002B2CF9AE}" pid="16" name="ContentTypeId">
    <vt:lpwstr>0x01010041A956F7C5B45542927267EA5A360EE8</vt:lpwstr>
  </property>
</Properties>
</file>