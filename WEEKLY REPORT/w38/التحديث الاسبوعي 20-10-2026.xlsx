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1) Ansab General Contracting Company\(6)MODON PROJECT\3.مشروع تطوير المدينة التقنية بالدمام\UPDATE\DAMT-01-002-WPR.036-DMM-BL01-REV@20.Oct.2026\5. Additional reports\"/>
    </mc:Choice>
  </mc:AlternateContent>
  <xr:revisionPtr revIDLastSave="0" documentId="13_ncr:1_{D4FC652A-9394-4629-ADF5-314282A17124}" xr6:coauthVersionLast="47" xr6:coauthVersionMax="47" xr10:uidLastSave="{00000000-0000-0000-0000-000000000000}"/>
  <bookViews>
    <workbookView xWindow="28680" yWindow="-120" windowWidth="29040" windowHeight="15720" tabRatio="500" xr2:uid="{00000000-000D-0000-FFFF-FFFF00000000}"/>
  </bookViews>
  <sheets>
    <sheet name="طريق-1" sheetId="1" r:id="rId1"/>
    <sheet name="طريق-2" sheetId="2" r:id="rId2"/>
    <sheet name="طريق-3" sheetId="3" r:id="rId3"/>
    <sheet name="طريق-الخدمات" sheetId="4" r:id="rId4"/>
    <sheet name="أعمال مباني الخدمات والبحيرة" sheetId="5" r:id="rId5"/>
    <sheet name="Sheet4" sheetId="6" r:id="rId6"/>
  </sheets>
  <definedNames>
    <definedName name="Display_Week">'أعمال مباني الخدمات والبحيرة'!$X$2</definedName>
    <definedName name="_xlnm.Print_Area" localSheetId="4">'أعمال مباني الخدمات والبحيرة'!$A$1:$AI$30</definedName>
    <definedName name="_xlnm.Print_Area" localSheetId="0">'طريق-1'!$A$1:$AK$44</definedName>
    <definedName name="_xlnm.Print_Area" localSheetId="1">'طريق-2'!$A$1:$AK$42</definedName>
    <definedName name="_xlnm.Print_Area" localSheetId="2">'طريق-3'!$A$1:$AJ$42</definedName>
    <definedName name="_xlnm.Print_Area" localSheetId="3">'طريق-الخدمات'!$A$1:$AK$31</definedName>
    <definedName name="_xlnm.Print_Titles" localSheetId="4">'أعمال مباني الخدمات والبحيرة'!$4:$6</definedName>
    <definedName name="_xlnm.Print_Titles" localSheetId="0">'طريق-1'!$4:$6</definedName>
    <definedName name="_xlnm.Print_Titles" localSheetId="1">'طريق-2'!$4:$6</definedName>
    <definedName name="_xlnm.Print_Titles" localSheetId="2">'طريق-3'!$4:$6</definedName>
    <definedName name="_xlnm.Print_Titles" localSheetId="3">'طريق-الخدمات'!$4:$6</definedName>
    <definedName name="Project_Start">'أعمال مباني الخدمات والبحيرة'!$X$1</definedName>
    <definedName name="task_end" localSheetId="4">'أعمال مباني الخدمات والبحيرة'!$K1</definedName>
    <definedName name="task_end" localSheetId="0">'طريق-1'!$M1</definedName>
    <definedName name="task_end" localSheetId="1">'طريق-2'!$M1</definedName>
    <definedName name="task_end" localSheetId="2">'طريق-3'!$L1</definedName>
    <definedName name="task_end" localSheetId="3">'طريق-الخدمات'!$M1</definedName>
    <definedName name="task_progress" localSheetId="4">'أعمال مباني الخدمات والبحيرة'!$I1</definedName>
    <definedName name="task_progress" localSheetId="0">'طريق-1'!$K1</definedName>
    <definedName name="task_progress" localSheetId="1">'طريق-2'!$K1</definedName>
    <definedName name="task_progress" localSheetId="2">'طريق-3'!$J1</definedName>
    <definedName name="task_progress" localSheetId="3">'طريق-الخدمات'!$K1</definedName>
    <definedName name="task_start" localSheetId="4">'أعمال مباني الخدمات والبحيرة'!$J1</definedName>
    <definedName name="task_start" localSheetId="0">'طريق-1'!$L1</definedName>
    <definedName name="task_start" localSheetId="1">'طريق-2'!$L1</definedName>
    <definedName name="task_start" localSheetId="2">'طريق-3'!$K1</definedName>
    <definedName name="task_start" localSheetId="3">'طريق-الخدمات'!$L1</definedName>
    <definedName name="today" localSheetId="4">TODAY()</definedName>
    <definedName name="today" localSheetId="0">TODAY()</definedName>
    <definedName name="today" localSheetId="1">TODAY()</definedName>
    <definedName name="today" localSheetId="2">TODAY()</definedName>
    <definedName name="today" localSheetId="3">TODAY()</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9" i="1" l="1"/>
  <c r="H9" i="1" s="1"/>
  <c r="E9" i="2"/>
  <c r="H9" i="2" s="1"/>
  <c r="E9" i="3"/>
  <c r="H9" i="3" s="1"/>
  <c r="F9" i="4"/>
  <c r="F17" i="5"/>
  <c r="F15" i="5"/>
  <c r="F13" i="5"/>
  <c r="F11" i="5"/>
  <c r="F29" i="5"/>
  <c r="F27" i="5"/>
  <c r="F25" i="5"/>
  <c r="F23" i="5"/>
  <c r="I23" i="5" s="1"/>
  <c r="F21" i="5"/>
  <c r="I21" i="5" s="1"/>
  <c r="F19" i="5"/>
  <c r="AR11" i="1"/>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8" i="3"/>
  <c r="H8" i="2"/>
  <c r="H8" i="1"/>
  <c r="I12" i="5"/>
  <c r="I14" i="5"/>
  <c r="I16" i="5"/>
  <c r="I18" i="5"/>
  <c r="I20" i="5"/>
  <c r="I22" i="5"/>
  <c r="I24" i="5"/>
  <c r="I26" i="5"/>
  <c r="I28" i="5"/>
  <c r="I30" i="5"/>
  <c r="F9" i="5"/>
  <c r="I9" i="5" s="1"/>
  <c r="F10" i="5"/>
  <c r="I10" i="5" s="1"/>
  <c r="F8" i="5"/>
  <c r="I19" i="5"/>
  <c r="H9" i="5"/>
  <c r="H10" i="5"/>
  <c r="H12" i="5"/>
  <c r="H14" i="5"/>
  <c r="H16" i="5"/>
  <c r="H18" i="5"/>
  <c r="H19" i="5"/>
  <c r="H20" i="5"/>
  <c r="H21" i="5"/>
  <c r="H22" i="5"/>
  <c r="H23" i="5"/>
  <c r="H24" i="5"/>
  <c r="H26" i="5"/>
  <c r="H28" i="5"/>
  <c r="H30" i="5"/>
  <c r="Q1" i="1"/>
  <c r="M32" i="5"/>
  <c r="M31" i="5"/>
  <c r="M30" i="5"/>
  <c r="M29" i="5"/>
  <c r="M28" i="5"/>
  <c r="M27" i="5"/>
  <c r="M26" i="5"/>
  <c r="M25" i="5"/>
  <c r="M24" i="5"/>
  <c r="M23" i="5"/>
  <c r="M22" i="5"/>
  <c r="M21" i="5"/>
  <c r="M20" i="5"/>
  <c r="M19" i="5"/>
  <c r="M18" i="5"/>
  <c r="M17" i="5"/>
  <c r="M16" i="5"/>
  <c r="M15" i="5"/>
  <c r="M14" i="5"/>
  <c r="M13" i="5"/>
  <c r="M12" i="5"/>
  <c r="M11" i="5"/>
  <c r="M10" i="5"/>
  <c r="M9" i="5"/>
  <c r="M8" i="5"/>
  <c r="M7" i="5"/>
  <c r="O5" i="5"/>
  <c r="O2" i="5"/>
  <c r="O1" i="5"/>
  <c r="O32" i="4"/>
  <c r="O31" i="4"/>
  <c r="K31" i="4"/>
  <c r="J31" i="4"/>
  <c r="L30" i="4"/>
  <c r="O30" i="4" s="1"/>
  <c r="D30" i="4"/>
  <c r="O29" i="4"/>
  <c r="K29" i="4"/>
  <c r="J29" i="4"/>
  <c r="O28" i="4"/>
  <c r="K28" i="4"/>
  <c r="J28" i="4"/>
  <c r="L27" i="4"/>
  <c r="O27" i="4" s="1"/>
  <c r="K27" i="4"/>
  <c r="J27" i="4"/>
  <c r="L26" i="4"/>
  <c r="O26" i="4" s="1"/>
  <c r="K26" i="4"/>
  <c r="J26" i="4"/>
  <c r="O25" i="4"/>
  <c r="K25" i="4"/>
  <c r="J25" i="4"/>
  <c r="O24" i="4"/>
  <c r="K24" i="4"/>
  <c r="J24" i="4"/>
  <c r="O23" i="4"/>
  <c r="K23" i="4"/>
  <c r="J23" i="4"/>
  <c r="O22" i="4"/>
  <c r="K22" i="4"/>
  <c r="J22" i="4"/>
  <c r="L21" i="4"/>
  <c r="K21" i="4"/>
  <c r="J21" i="4"/>
  <c r="O20" i="4"/>
  <c r="K20" i="4"/>
  <c r="J20" i="4"/>
  <c r="O19" i="4"/>
  <c r="K19" i="4"/>
  <c r="J19" i="4"/>
  <c r="O18" i="4"/>
  <c r="K18" i="4"/>
  <c r="J18" i="4"/>
  <c r="O17" i="4"/>
  <c r="K17" i="4"/>
  <c r="J17" i="4"/>
  <c r="O16" i="4"/>
  <c r="K16" i="4"/>
  <c r="J16" i="4"/>
  <c r="O15" i="4"/>
  <c r="K15" i="4"/>
  <c r="J15" i="4"/>
  <c r="O14" i="4"/>
  <c r="K14" i="4"/>
  <c r="J14" i="4"/>
  <c r="O13" i="4"/>
  <c r="K13" i="4"/>
  <c r="J13" i="4"/>
  <c r="O12" i="4"/>
  <c r="K12" i="4"/>
  <c r="J12" i="4"/>
  <c r="O11" i="4"/>
  <c r="K11" i="4"/>
  <c r="J11" i="4"/>
  <c r="G11" i="4"/>
  <c r="O10" i="4"/>
  <c r="K10" i="4"/>
  <c r="J10" i="4"/>
  <c r="G10" i="4"/>
  <c r="O9" i="4"/>
  <c r="K9" i="4"/>
  <c r="J9" i="4"/>
  <c r="G9" i="4"/>
  <c r="O8" i="4"/>
  <c r="K8" i="4"/>
  <c r="J8" i="4"/>
  <c r="O7" i="4"/>
  <c r="Q5" i="4"/>
  <c r="Q2" i="4"/>
  <c r="Q1" i="4"/>
  <c r="N32" i="3"/>
  <c r="N31" i="3"/>
  <c r="N30" i="3"/>
  <c r="N29" i="3"/>
  <c r="N28" i="3"/>
  <c r="N27" i="3"/>
  <c r="N26" i="3"/>
  <c r="N25" i="3"/>
  <c r="N24" i="3"/>
  <c r="N23" i="3"/>
  <c r="N22" i="3"/>
  <c r="N21" i="3"/>
  <c r="N20" i="3"/>
  <c r="N19" i="3"/>
  <c r="N18" i="3"/>
  <c r="N17" i="3"/>
  <c r="N16" i="3"/>
  <c r="N15" i="3"/>
  <c r="N14" i="3"/>
  <c r="N13" i="3"/>
  <c r="N12" i="3"/>
  <c r="N11" i="3"/>
  <c r="N10" i="3"/>
  <c r="N9" i="3"/>
  <c r="N8" i="3"/>
  <c r="N7" i="3"/>
  <c r="P5" i="3"/>
  <c r="P2" i="3"/>
  <c r="P1" i="3"/>
  <c r="K42" i="2"/>
  <c r="J42" i="2"/>
  <c r="K41" i="2"/>
  <c r="J41" i="2"/>
  <c r="K40" i="2"/>
  <c r="J40" i="2"/>
  <c r="M39" i="2"/>
  <c r="D39" i="2"/>
  <c r="D38" i="2"/>
  <c r="M37" i="2"/>
  <c r="L38" i="2" s="1"/>
  <c r="M38" i="2" s="1"/>
  <c r="K37" i="2"/>
  <c r="J37" i="2"/>
  <c r="K36" i="2"/>
  <c r="J36" i="2"/>
  <c r="K35" i="2"/>
  <c r="J35" i="2"/>
  <c r="K34" i="2"/>
  <c r="J34" i="2"/>
  <c r="K33" i="2"/>
  <c r="J33" i="2"/>
  <c r="O32" i="2"/>
  <c r="K32" i="2"/>
  <c r="J32" i="2"/>
  <c r="O31" i="2"/>
  <c r="K31" i="2"/>
  <c r="J31" i="2"/>
  <c r="O30" i="2"/>
  <c r="K30" i="2"/>
  <c r="J30" i="2"/>
  <c r="O29" i="2"/>
  <c r="K29" i="2"/>
  <c r="J29" i="2"/>
  <c r="O28" i="2"/>
  <c r="K28" i="2"/>
  <c r="J28" i="2"/>
  <c r="O27" i="2"/>
  <c r="K27" i="2"/>
  <c r="J27" i="2"/>
  <c r="O26" i="2"/>
  <c r="K26" i="2"/>
  <c r="J26" i="2"/>
  <c r="O25" i="2"/>
  <c r="K25" i="2"/>
  <c r="J25" i="2"/>
  <c r="O24" i="2"/>
  <c r="K24" i="2"/>
  <c r="J24" i="2"/>
  <c r="O23" i="2"/>
  <c r="K23" i="2"/>
  <c r="J23" i="2"/>
  <c r="M22" i="2"/>
  <c r="O22" i="2" s="1"/>
  <c r="K22" i="2"/>
  <c r="J22" i="2"/>
  <c r="M21" i="2"/>
  <c r="O21" i="2" s="1"/>
  <c r="K21" i="2"/>
  <c r="J21" i="2"/>
  <c r="O20" i="2"/>
  <c r="K20" i="2"/>
  <c r="J20" i="2"/>
  <c r="O19" i="2"/>
  <c r="K19" i="2"/>
  <c r="J19" i="2"/>
  <c r="O18" i="2"/>
  <c r="K18" i="2"/>
  <c r="J18" i="2"/>
  <c r="M17" i="2"/>
  <c r="O17" i="2" s="1"/>
  <c r="K17" i="2"/>
  <c r="J17" i="2"/>
  <c r="O16" i="2"/>
  <c r="K16" i="2"/>
  <c r="J16" i="2"/>
  <c r="M15" i="2"/>
  <c r="O15" i="2" s="1"/>
  <c r="K15" i="2"/>
  <c r="J15" i="2"/>
  <c r="M14" i="2"/>
  <c r="O14" i="2" s="1"/>
  <c r="K14" i="2"/>
  <c r="J14" i="2"/>
  <c r="M13" i="2"/>
  <c r="O13" i="2" s="1"/>
  <c r="K13" i="2"/>
  <c r="J13" i="2"/>
  <c r="O12" i="2"/>
  <c r="K12" i="2"/>
  <c r="J12" i="2"/>
  <c r="O11" i="2"/>
  <c r="K11" i="2"/>
  <c r="J11" i="2"/>
  <c r="O10" i="2"/>
  <c r="K10" i="2"/>
  <c r="J10" i="2"/>
  <c r="O9" i="2"/>
  <c r="K9" i="2"/>
  <c r="J9" i="2"/>
  <c r="O8" i="2"/>
  <c r="K8" i="2"/>
  <c r="J8" i="2"/>
  <c r="O7" i="2"/>
  <c r="Q5" i="2"/>
  <c r="Q2" i="2"/>
  <c r="Q1" i="2"/>
  <c r="M44" i="1"/>
  <c r="K44" i="1"/>
  <c r="J44" i="1"/>
  <c r="D43" i="1"/>
  <c r="K42" i="1"/>
  <c r="J42" i="1"/>
  <c r="D41" i="1"/>
  <c r="D40" i="1"/>
  <c r="M39" i="1"/>
  <c r="L40" i="1" s="1"/>
  <c r="M40" i="1" s="1"/>
  <c r="L42" i="1" s="1"/>
  <c r="K39" i="1"/>
  <c r="J39" i="1"/>
  <c r="K38" i="1"/>
  <c r="J38" i="1"/>
  <c r="M37" i="1"/>
  <c r="K37" i="1"/>
  <c r="J37" i="1"/>
  <c r="K36" i="1"/>
  <c r="J36" i="1"/>
  <c r="L35" i="1"/>
  <c r="M35" i="1" s="1"/>
  <c r="K35" i="1"/>
  <c r="J35" i="1"/>
  <c r="K34" i="1"/>
  <c r="J34" i="1"/>
  <c r="K33" i="1"/>
  <c r="J33" i="1"/>
  <c r="O32" i="1"/>
  <c r="K32" i="1"/>
  <c r="J32" i="1"/>
  <c r="O31" i="1"/>
  <c r="K31" i="1"/>
  <c r="J31" i="1"/>
  <c r="O30" i="1"/>
  <c r="K30" i="1"/>
  <c r="J30" i="1"/>
  <c r="O29" i="1"/>
  <c r="K29" i="1"/>
  <c r="J29" i="1"/>
  <c r="O28" i="1"/>
  <c r="K28" i="1"/>
  <c r="J28" i="1"/>
  <c r="O27" i="1"/>
  <c r="K27" i="1"/>
  <c r="J27" i="1"/>
  <c r="O26" i="1"/>
  <c r="K26" i="1"/>
  <c r="J26" i="1"/>
  <c r="O25" i="1"/>
  <c r="K25" i="1"/>
  <c r="J25" i="1"/>
  <c r="O24" i="1"/>
  <c r="K24" i="1"/>
  <c r="J24" i="1"/>
  <c r="O23" i="1"/>
  <c r="K23" i="1"/>
  <c r="J23" i="1"/>
  <c r="M22" i="1"/>
  <c r="O22" i="1" s="1"/>
  <c r="K22" i="1"/>
  <c r="J22" i="1"/>
  <c r="M21" i="1"/>
  <c r="O21" i="1" s="1"/>
  <c r="K21" i="1"/>
  <c r="J21" i="1"/>
  <c r="M20" i="1"/>
  <c r="O20" i="1" s="1"/>
  <c r="K20" i="1"/>
  <c r="J20" i="1"/>
  <c r="O19" i="1"/>
  <c r="K19" i="1"/>
  <c r="J19" i="1"/>
  <c r="O18" i="1"/>
  <c r="K18" i="1"/>
  <c r="J18" i="1"/>
  <c r="M17" i="1"/>
  <c r="O17" i="1" s="1"/>
  <c r="K17" i="1"/>
  <c r="J17" i="1"/>
  <c r="O16" i="1"/>
  <c r="K16" i="1"/>
  <c r="J16" i="1"/>
  <c r="M15" i="1"/>
  <c r="O15" i="1" s="1"/>
  <c r="K15" i="1"/>
  <c r="J15" i="1"/>
  <c r="M14" i="1"/>
  <c r="O14" i="1" s="1"/>
  <c r="K14" i="1"/>
  <c r="J14" i="1"/>
  <c r="M13" i="1"/>
  <c r="O13" i="1" s="1"/>
  <c r="K13" i="1"/>
  <c r="J13" i="1"/>
  <c r="O12" i="1"/>
  <c r="K12" i="1"/>
  <c r="J12" i="1"/>
  <c r="O11" i="1"/>
  <c r="K11" i="1"/>
  <c r="J11" i="1"/>
  <c r="O10" i="1"/>
  <c r="K10" i="1"/>
  <c r="J10" i="1"/>
  <c r="G10" i="1" s="1"/>
  <c r="O9" i="1"/>
  <c r="O8" i="1"/>
  <c r="K8" i="1"/>
  <c r="J8" i="1"/>
  <c r="O7" i="1"/>
  <c r="Q5" i="1"/>
  <c r="Q2" i="1"/>
  <c r="I17" i="5" l="1"/>
  <c r="H17" i="5"/>
  <c r="I15" i="5"/>
  <c r="H15" i="5"/>
  <c r="I11" i="5"/>
  <c r="H11" i="5"/>
  <c r="I29" i="5"/>
  <c r="H29" i="5"/>
  <c r="I27" i="5"/>
  <c r="H27" i="5"/>
  <c r="H8" i="5"/>
  <c r="I8" i="5"/>
  <c r="H13" i="5"/>
  <c r="I13" i="5"/>
  <c r="H25" i="5"/>
  <c r="I25" i="5"/>
  <c r="P5" i="5"/>
  <c r="K30" i="4"/>
  <c r="J30" i="4"/>
  <c r="M21" i="4"/>
  <c r="O21" i="4" s="1"/>
  <c r="R5" i="4"/>
  <c r="Q5" i="3"/>
  <c r="K39" i="2"/>
  <c r="J39" i="2"/>
  <c r="J38" i="2"/>
  <c r="K38" i="2"/>
  <c r="R5" i="2"/>
  <c r="K43" i="1"/>
  <c r="J43" i="1"/>
  <c r="K41" i="1"/>
  <c r="J41" i="1"/>
  <c r="K40" i="1"/>
  <c r="J40" i="1"/>
  <c r="M42" i="1"/>
  <c r="L41" i="1" s="1"/>
  <c r="M41" i="1" s="1"/>
  <c r="L43" i="1"/>
  <c r="K9" i="1"/>
  <c r="J9" i="1"/>
  <c r="G9" i="1" s="1"/>
  <c r="R5" i="1"/>
  <c r="Q5" i="5" l="1"/>
  <c r="S5" i="4"/>
  <c r="S5" i="2"/>
  <c r="S5" i="1"/>
  <c r="E17" i="1"/>
  <c r="H17" i="1" s="1"/>
  <c r="E18" i="1"/>
  <c r="H18" i="1" s="1"/>
  <c r="E19" i="1"/>
  <c r="H19" i="1" s="1"/>
  <c r="R5" i="3"/>
  <c r="E17" i="3"/>
  <c r="E14" i="3"/>
  <c r="E37" i="1"/>
  <c r="H37" i="1" s="1"/>
  <c r="E41" i="1"/>
  <c r="H41" i="1" s="1"/>
  <c r="E16" i="1"/>
  <c r="H16" i="1" s="1"/>
  <c r="E36" i="1"/>
  <c r="H36" i="1" s="1"/>
  <c r="E35" i="1"/>
  <c r="H35" i="1" s="1"/>
  <c r="E34" i="1"/>
  <c r="H34" i="1" s="1"/>
  <c r="E33" i="1"/>
  <c r="H33" i="1" s="1"/>
  <c r="E32" i="1"/>
  <c r="H32" i="1" s="1"/>
  <c r="E15" i="1"/>
  <c r="H15" i="1" s="1"/>
  <c r="E40" i="1"/>
  <c r="H40" i="1" s="1"/>
  <c r="E14" i="1"/>
  <c r="H14" i="1" s="1"/>
  <c r="E39" i="1"/>
  <c r="H39" i="1" s="1"/>
  <c r="E13" i="1"/>
  <c r="H13" i="1" s="1"/>
  <c r="E12" i="1"/>
  <c r="H12" i="1" s="1"/>
  <c r="E42" i="1"/>
  <c r="H42" i="1" s="1"/>
  <c r="E10" i="1"/>
  <c r="H10" i="1" s="1"/>
  <c r="E43" i="1"/>
  <c r="H43" i="1" s="1"/>
  <c r="E22" i="1"/>
  <c r="H22" i="1" s="1"/>
  <c r="E23" i="1"/>
  <c r="H23" i="1" s="1"/>
  <c r="E25" i="1"/>
  <c r="H25" i="1" s="1"/>
  <c r="E30" i="1"/>
  <c r="H30" i="1" s="1"/>
  <c r="E29" i="1"/>
  <c r="H29" i="1" s="1"/>
  <c r="E28" i="1"/>
  <c r="H28" i="1" s="1"/>
  <c r="E27" i="1"/>
  <c r="H27" i="1" s="1"/>
  <c r="E11" i="1"/>
  <c r="H11" i="1" s="1"/>
  <c r="H17" i="3" l="1"/>
  <c r="H14" i="3"/>
  <c r="S5" i="3"/>
  <c r="T5" i="3" s="1"/>
  <c r="W5" i="3" s="1"/>
  <c r="X5" i="3" s="1"/>
  <c r="Y5" i="3" s="1"/>
  <c r="Z5" i="3" s="1"/>
  <c r="AA5" i="3" s="1"/>
  <c r="AB5" i="3" s="1"/>
  <c r="AC5" i="3" s="1"/>
  <c r="AD5" i="3" s="1"/>
  <c r="AE5" i="3" s="1"/>
  <c r="AF5" i="3" s="1"/>
  <c r="AG5" i="3" s="1"/>
  <c r="AH5" i="3" s="1"/>
  <c r="AI5" i="3" s="1"/>
  <c r="AJ5" i="3" s="1"/>
  <c r="E20" i="3"/>
  <c r="E34" i="3"/>
  <c r="E33" i="3"/>
  <c r="E32" i="3"/>
  <c r="E31" i="3"/>
  <c r="E30" i="3"/>
  <c r="E29" i="3"/>
  <c r="E26" i="3"/>
  <c r="E13" i="3"/>
  <c r="E22" i="3"/>
  <c r="E23" i="3"/>
  <c r="E18" i="3"/>
  <c r="E27" i="3"/>
  <c r="E12" i="3"/>
  <c r="E15" i="3"/>
  <c r="E21" i="3"/>
  <c r="E28" i="3"/>
  <c r="E16" i="3"/>
  <c r="E10" i="3"/>
  <c r="E19" i="3"/>
  <c r="E24" i="3"/>
  <c r="H8" i="3"/>
  <c r="E11" i="3"/>
  <c r="E25" i="3"/>
  <c r="E42" i="3"/>
  <c r="E41" i="3"/>
  <c r="E40" i="3"/>
  <c r="E39" i="3"/>
  <c r="E38" i="3"/>
  <c r="E37" i="3"/>
  <c r="E36" i="3"/>
  <c r="E35" i="3"/>
  <c r="T5" i="4"/>
  <c r="T5" i="2"/>
  <c r="R5" i="5"/>
  <c r="T5" i="1"/>
  <c r="U5" i="1" s="1"/>
  <c r="X5" i="1" s="1"/>
  <c r="Y5" i="1" s="1"/>
  <c r="Z5" i="1" s="1"/>
  <c r="AA5" i="1" s="1"/>
  <c r="AB5" i="1" s="1"/>
  <c r="AC5" i="1" s="1"/>
  <c r="AD5" i="1" s="1"/>
  <c r="AE5" i="1" s="1"/>
  <c r="AF5" i="1" s="1"/>
  <c r="AG5" i="1" s="1"/>
  <c r="AH5" i="1" s="1"/>
  <c r="AI5" i="1" s="1"/>
  <c r="AJ5" i="1" s="1"/>
  <c r="AK5" i="1" s="1"/>
  <c r="E24" i="1"/>
  <c r="H24" i="1" s="1"/>
  <c r="E44" i="1"/>
  <c r="H44" i="1" s="1"/>
  <c r="E21" i="1"/>
  <c r="H21" i="1" s="1"/>
  <c r="E20" i="1"/>
  <c r="H20" i="1" s="1"/>
  <c r="E31" i="1"/>
  <c r="H31" i="1" s="1"/>
  <c r="E38" i="1"/>
  <c r="H38" i="1" s="1"/>
  <c r="E26" i="1"/>
  <c r="H26" i="1" s="1"/>
  <c r="H20" i="3" l="1"/>
  <c r="H34" i="3"/>
  <c r="H33" i="3"/>
  <c r="H32" i="3"/>
  <c r="H31" i="3"/>
  <c r="H30" i="3"/>
  <c r="H29" i="3"/>
  <c r="H26" i="3"/>
  <c r="H13" i="3"/>
  <c r="H22" i="3"/>
  <c r="H23" i="3"/>
  <c r="H18" i="3"/>
  <c r="H27" i="3"/>
  <c r="H12" i="3"/>
  <c r="H15" i="3"/>
  <c r="H21" i="3"/>
  <c r="H28" i="3"/>
  <c r="H16" i="3"/>
  <c r="H10" i="3"/>
  <c r="H19" i="3"/>
  <c r="H24" i="3"/>
  <c r="H11" i="3"/>
  <c r="H25" i="3"/>
  <c r="H42" i="3"/>
  <c r="H41" i="3"/>
  <c r="H40" i="3"/>
  <c r="H39" i="3"/>
  <c r="H38" i="3"/>
  <c r="H37" i="3"/>
  <c r="H36" i="3"/>
  <c r="H35" i="3"/>
  <c r="F11" i="3"/>
  <c r="F9" i="3"/>
  <c r="F10" i="3"/>
  <c r="S5" i="5"/>
  <c r="V5" i="5" s="1"/>
  <c r="U5" i="4"/>
  <c r="U5" i="2"/>
  <c r="W5" i="5"/>
  <c r="X5" i="5" l="1"/>
  <c r="X5" i="4"/>
  <c r="E31" i="2"/>
  <c r="H31" i="2" s="1"/>
  <c r="E35" i="2"/>
  <c r="H35" i="2" s="1"/>
  <c r="E25" i="2"/>
  <c r="H25" i="2" s="1"/>
  <c r="E27" i="2"/>
  <c r="H27" i="2" s="1"/>
  <c r="E22" i="2"/>
  <c r="H22" i="2" s="1"/>
  <c r="E37" i="2"/>
  <c r="H37" i="2" s="1"/>
  <c r="E24" i="2"/>
  <c r="H24" i="2" s="1"/>
  <c r="X5" i="2"/>
  <c r="E18" i="2"/>
  <c r="H18" i="2" s="1"/>
  <c r="E36" i="2"/>
  <c r="H36" i="2" s="1"/>
  <c r="E20" i="2"/>
  <c r="H20" i="2" s="1"/>
  <c r="E30" i="2"/>
  <c r="H30" i="2" s="1"/>
  <c r="E16" i="2"/>
  <c r="H16" i="2" s="1"/>
  <c r="E42" i="2"/>
  <c r="H42" i="2" s="1"/>
  <c r="E15" i="2"/>
  <c r="H15" i="2" s="1"/>
  <c r="E38" i="2"/>
  <c r="H38" i="2" s="1"/>
  <c r="E17" i="2"/>
  <c r="H17" i="2" s="1"/>
  <c r="E12" i="2"/>
  <c r="H12" i="2" s="1"/>
  <c r="E34" i="2"/>
  <c r="H34" i="2" s="1"/>
  <c r="E23" i="2"/>
  <c r="H23" i="2" s="1"/>
  <c r="E11" i="2"/>
  <c r="H11" i="2" s="1"/>
  <c r="E26" i="2"/>
  <c r="H26" i="2" s="1"/>
  <c r="E13" i="2"/>
  <c r="H13" i="2" s="1"/>
  <c r="E14" i="2"/>
  <c r="H14" i="2" s="1"/>
  <c r="Y5" i="5" l="1"/>
  <c r="Z5" i="5" s="1"/>
  <c r="AA5" i="5" s="1"/>
  <c r="AB5" i="5" s="1"/>
  <c r="AC5" i="5" s="1"/>
  <c r="AD5" i="5"/>
  <c r="Y5" i="4"/>
  <c r="Z5" i="4" s="1"/>
  <c r="AA5" i="4" s="1"/>
  <c r="AB5" i="4" s="1"/>
  <c r="AC5" i="4" s="1"/>
  <c r="AD5" i="4" s="1"/>
  <c r="AE5" i="4" s="1"/>
  <c r="AF5" i="4" s="1"/>
  <c r="AG5" i="4" s="1"/>
  <c r="AH5" i="4" s="1"/>
  <c r="AI5" i="4" s="1"/>
  <c r="AJ5" i="4" s="1"/>
  <c r="AK5" i="4" s="1"/>
  <c r="E17" i="4"/>
  <c r="H17" i="4" s="1"/>
  <c r="E30" i="4"/>
  <c r="H30" i="4" s="1"/>
  <c r="H8" i="4"/>
  <c r="E20" i="4"/>
  <c r="H20" i="4" s="1"/>
  <c r="E16" i="4"/>
  <c r="H16" i="4" s="1"/>
  <c r="E31" i="4"/>
  <c r="H31" i="4" s="1"/>
  <c r="E25" i="4"/>
  <c r="H25" i="4" s="1"/>
  <c r="E22" i="4"/>
  <c r="H22" i="4" s="1"/>
  <c r="E14" i="4"/>
  <c r="H14" i="4" s="1"/>
  <c r="E27" i="4"/>
  <c r="H27" i="4" s="1"/>
  <c r="E24" i="4"/>
  <c r="H24" i="4" s="1"/>
  <c r="E28" i="4"/>
  <c r="H28" i="4" s="1"/>
  <c r="E23" i="4"/>
  <c r="H23" i="4" s="1"/>
  <c r="E26" i="4"/>
  <c r="H26" i="4" s="1"/>
  <c r="E12" i="4"/>
  <c r="H12" i="4" s="1"/>
  <c r="E21" i="4"/>
  <c r="H21" i="4" s="1"/>
  <c r="E13" i="4"/>
  <c r="H13" i="4" s="1"/>
  <c r="E10" i="4"/>
  <c r="H10" i="4" s="1"/>
  <c r="E19" i="4"/>
  <c r="H19" i="4" s="1"/>
  <c r="E18" i="4"/>
  <c r="H18" i="4" s="1"/>
  <c r="E11" i="4"/>
  <c r="H11" i="4" s="1"/>
  <c r="H9" i="4"/>
  <c r="E15" i="4"/>
  <c r="H15" i="4" s="1"/>
  <c r="E29" i="4"/>
  <c r="H29" i="4" s="1"/>
  <c r="Y5" i="2"/>
  <c r="Z5" i="2" s="1"/>
  <c r="AA5" i="2" s="1"/>
  <c r="AB5" i="2" s="1"/>
  <c r="AC5" i="2" s="1"/>
  <c r="AD5" i="2" s="1"/>
  <c r="AE5" i="2" s="1"/>
  <c r="AF5" i="2" s="1"/>
  <c r="AG5" i="2" s="1"/>
  <c r="AH5" i="2" s="1"/>
  <c r="AI5" i="2" s="1"/>
  <c r="AJ5" i="2" s="1"/>
  <c r="AK5" i="2" s="1"/>
  <c r="E41" i="2"/>
  <c r="H41" i="2" s="1"/>
  <c r="E33" i="2"/>
  <c r="H33" i="2" s="1"/>
  <c r="E40" i="2"/>
  <c r="H40" i="2" s="1"/>
  <c r="E10" i="2"/>
  <c r="H10" i="2" s="1"/>
  <c r="E19" i="2"/>
  <c r="H19" i="2" s="1"/>
  <c r="E28" i="2"/>
  <c r="H28" i="2" s="1"/>
  <c r="E39" i="2"/>
  <c r="H39" i="2" s="1"/>
  <c r="E29" i="2"/>
  <c r="H29" i="2" s="1"/>
  <c r="E21" i="2"/>
  <c r="H21" i="2" s="1"/>
  <c r="E32" i="2"/>
  <c r="H32" i="2" s="1"/>
  <c r="AE5" i="5" l="1"/>
  <c r="AF5" i="5" s="1"/>
  <c r="AG5" i="5" s="1"/>
  <c r="AH5" i="5" s="1"/>
  <c r="AI5" i="5" s="1"/>
  <c r="E24" i="5"/>
  <c r="G24" i="5" s="1"/>
  <c r="E20" i="5"/>
  <c r="G20" i="5" s="1"/>
  <c r="E26" i="5"/>
  <c r="G26" i="5" s="1"/>
  <c r="E18" i="5"/>
  <c r="G18" i="5" s="1"/>
  <c r="E23" i="5"/>
  <c r="G23" i="5" s="1"/>
  <c r="E22" i="5"/>
  <c r="G22" i="5" s="1"/>
  <c r="E19" i="5"/>
  <c r="G19" i="5" s="1"/>
  <c r="E21" i="5"/>
  <c r="G21" i="5" s="1"/>
  <c r="E27" i="5"/>
  <c r="G27" i="5" s="1"/>
  <c r="E28" i="5"/>
  <c r="G28" i="5" s="1"/>
  <c r="E29" i="5"/>
  <c r="G29" i="5" s="1"/>
  <c r="E25" i="5"/>
  <c r="G25" i="5" s="1"/>
  <c r="E12" i="5"/>
  <c r="G12" i="5" s="1"/>
  <c r="E11" i="5"/>
  <c r="G11" i="5" s="1"/>
  <c r="E9" i="5"/>
  <c r="G9" i="5" s="1"/>
  <c r="E8" i="5"/>
  <c r="G8" i="5" s="1"/>
  <c r="E16" i="5"/>
  <c r="G16" i="5" s="1"/>
  <c r="E14" i="5"/>
  <c r="G14" i="5" s="1"/>
  <c r="E30" i="5"/>
  <c r="G30" i="5" s="1"/>
  <c r="E10" i="5"/>
  <c r="G10" i="5" s="1"/>
  <c r="E13" i="5"/>
  <c r="G13" i="5" s="1"/>
  <c r="E17" i="5"/>
  <c r="G17" i="5" s="1"/>
  <c r="E15" i="5"/>
  <c r="G15"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K8" authorId="0" shapeId="0" xr:uid="{00000000-0006-0000-0000-000001000000}">
      <text>
        <r>
          <rPr>
            <sz val="10"/>
            <rFont val="Arial"/>
            <family val="2"/>
          </rPr>
          <t xml:space="preserve">Admin:
</t>
        </r>
      </text>
    </comment>
  </commentList>
</comments>
</file>

<file path=xl/sharedStrings.xml><?xml version="1.0" encoding="utf-8"?>
<sst xmlns="http://schemas.openxmlformats.org/spreadsheetml/2006/main" count="571" uniqueCount="123">
  <si>
    <t>Development for Technology city ALDAMAM</t>
  </si>
  <si>
    <t>تاريخ اليوم:</t>
  </si>
  <si>
    <t>الأسبوع الحالي:</t>
  </si>
  <si>
    <t>منفذ</t>
  </si>
  <si>
    <t>مخطط/متبقي</t>
  </si>
  <si>
    <t>الأسبوع الحالي</t>
  </si>
  <si>
    <t>مخطط جانت الأسبوعي (كل عمود = أسبوع واحد يبدأ الأحد)</t>
  </si>
  <si>
    <t>الشبكة</t>
  </si>
  <si>
    <t>توصيف</t>
  </si>
  <si>
    <t>الوحده</t>
  </si>
  <si>
    <t>الكميه الاجماليه</t>
  </si>
  <si>
    <t>الكميه المخططه</t>
  </si>
  <si>
    <t>الكميه المتفذه</t>
  </si>
  <si>
    <t>الكميه المخططه خلال الاسبوع</t>
  </si>
  <si>
    <t>الفرق</t>
  </si>
  <si>
    <t>الكميه المنفذه خلال هذا الاسبوع</t>
  </si>
  <si>
    <t>الكميه المتبقيه</t>
  </si>
  <si>
    <t>PROGRESS</t>
  </si>
  <si>
    <t>START</t>
  </si>
  <si>
    <t>END</t>
  </si>
  <si>
    <t>أسبوع 1</t>
  </si>
  <si>
    <t>أسبوع 2</t>
  </si>
  <si>
    <t>أسبوع 3</t>
  </si>
  <si>
    <t>أسبوع 4</t>
  </si>
  <si>
    <t>أسبوع 5</t>
  </si>
  <si>
    <t>أسبوع 6</t>
  </si>
  <si>
    <t>الكميه  المنفذه خلال اسبوع</t>
  </si>
  <si>
    <t>أسبوع 7</t>
  </si>
  <si>
    <t>أسبوع 8</t>
  </si>
  <si>
    <t>أسبوع 9</t>
  </si>
  <si>
    <t>أسبوع 10</t>
  </si>
  <si>
    <t>أسبوع 11</t>
  </si>
  <si>
    <t>أسبوع 12</t>
  </si>
  <si>
    <t>أسبوع 13</t>
  </si>
  <si>
    <t>أسبوع 14</t>
  </si>
  <si>
    <t>أسبوع 15</t>
  </si>
  <si>
    <t>أسبوع 16</t>
  </si>
  <si>
    <t>أسبوع 17</t>
  </si>
  <si>
    <t>أسبوع 18</t>
  </si>
  <si>
    <t>أسبوع 19</t>
  </si>
  <si>
    <t>أسبوع 20</t>
  </si>
  <si>
    <t xml:space="preserve">Do not delete this row. This row is hidden to preserve a formula that is used to highlight the current day within the project schedule. </t>
  </si>
  <si>
    <t>أعمال ترابية</t>
  </si>
  <si>
    <t>أعمال القطع حتى منسوب طبقة الأساس B.O.C</t>
  </si>
  <si>
    <t>م3</t>
  </si>
  <si>
    <t>أعمال الدفان حتى منسوب طبقة الأساس B.O.C</t>
  </si>
  <si>
    <t>التصريف</t>
  </si>
  <si>
    <t>حفر وتمديد  الخطوط الرئيسيه</t>
  </si>
  <si>
    <t>م.ط</t>
  </si>
  <si>
    <t>حفر وتمديد الخطوط الفرعيه</t>
  </si>
  <si>
    <t>تركيب المناهل</t>
  </si>
  <si>
    <t>عدد</t>
  </si>
  <si>
    <t>تشكيل قاع المناهل الرئيسيه</t>
  </si>
  <si>
    <t xml:space="preserve">تركيب الكفرات للمناهل الرئيسية </t>
  </si>
  <si>
    <t>التشطيبات الداخليه للمناهل الرئيسية</t>
  </si>
  <si>
    <t>تركيب مصائد الأمطار</t>
  </si>
  <si>
    <t>تركيب الكفرات مصائد الأمطار</t>
  </si>
  <si>
    <t>الصرف</t>
  </si>
  <si>
    <t>اختبارات الخطوط الرئيسية</t>
  </si>
  <si>
    <t>تشكيل قاع المناهل الرئيسيه والفرعية</t>
  </si>
  <si>
    <t>تركيب الكفرات للمناهل الرئيسية والفرعية</t>
  </si>
  <si>
    <t>المياه</t>
  </si>
  <si>
    <t xml:space="preserve">حفر وتمديد الخطوط الرئيسية </t>
  </si>
  <si>
    <t>المحابس</t>
  </si>
  <si>
    <t>غرف المحابس</t>
  </si>
  <si>
    <t>تركيب طفايات الحريق</t>
  </si>
  <si>
    <t xml:space="preserve">اختبارات الخطوط </t>
  </si>
  <si>
    <t>الري</t>
  </si>
  <si>
    <t>الاناره</t>
  </si>
  <si>
    <t>حفر وتمديد الكابلات</t>
  </si>
  <si>
    <t>تركيب قواعد الأعمده</t>
  </si>
  <si>
    <t>تركيب أعمدة الإنارة</t>
  </si>
  <si>
    <t>تركيب كشافات إنارة</t>
  </si>
  <si>
    <t>لوحة إناره</t>
  </si>
  <si>
    <t>الهاتف</t>
  </si>
  <si>
    <t>اعمال الحفر والتأسيس للشبكه</t>
  </si>
  <si>
    <t>اعمال تركيب الهاند هول/مانهول</t>
  </si>
  <si>
    <t>الطرق</t>
  </si>
  <si>
    <t>أعمال طبقة البيسكورس</t>
  </si>
  <si>
    <t xml:space="preserve">أعمال طبقة السبجريد </t>
  </si>
  <si>
    <t xml:space="preserve">اعمال طبقة الاسفلت الاولي 5 سم </t>
  </si>
  <si>
    <t>اعمال طبقة الاسفلت الثانيه 5 سم</t>
  </si>
  <si>
    <t>اعمال البردورات</t>
  </si>
  <si>
    <t>أعمال الانترلوك</t>
  </si>
  <si>
    <t>م 2</t>
  </si>
  <si>
    <t>تخطيط الطرق باللون الأبيض والاصفر</t>
  </si>
  <si>
    <t>الكمية المخططه</t>
  </si>
  <si>
    <t>اختبارات الخطوط الرئيسية والفرعية</t>
  </si>
  <si>
    <t>الجهد المتوسط</t>
  </si>
  <si>
    <t>حفر عبارات شبكة الجهد المتوسط</t>
  </si>
  <si>
    <t>م4</t>
  </si>
  <si>
    <t>أعمال البحيرة</t>
  </si>
  <si>
    <t xml:space="preserve">أعمال الحفر في البحيرة </t>
  </si>
  <si>
    <t>أعمال تهزيب الميول الجانبية للبحيرة</t>
  </si>
  <si>
    <t>م2</t>
  </si>
  <si>
    <t>أعمال التكسيات الحجر في بحيرة</t>
  </si>
  <si>
    <t>أعمال محطة الضخ (PUMP STATION)</t>
  </si>
  <si>
    <t>الأعمال المدنية (أعمال الخرسانة للبيارات والغرف والموقع العام والأسوار والأعمال المعمارية)</t>
  </si>
  <si>
    <t>EACH</t>
  </si>
  <si>
    <t>الأعمال الميكانيكية والكهربائية</t>
  </si>
  <si>
    <t>أعمال محطة الرفع(LIFT STATION)</t>
  </si>
  <si>
    <t xml:space="preserve">أعمال خزان المياة </t>
  </si>
  <si>
    <t>الأعمال الإنشائية</t>
  </si>
  <si>
    <t>أعمال خزان الري</t>
  </si>
  <si>
    <t>أعمال السور والبوابات
          Northern   Fence N01:N03</t>
  </si>
  <si>
    <t>اعمال البوابات</t>
  </si>
  <si>
    <t>أعمال السور والبوابات
          Western   Fence P1 ( W01:W06 )</t>
  </si>
  <si>
    <t>أعمال السور والبوابات
                 Western   Fence P2 ( W07:W12 )</t>
  </si>
  <si>
    <t>أعمال السور والبوابات
          Southern  Fence  S01:S05</t>
  </si>
  <si>
    <t>أعمال السور والبوابات
        Eastern     Fence P1 ( E01:E06 )</t>
  </si>
  <si>
    <t>أعمال السور والبوابات
          Eastern     Fence P2 ( E07:E13 )</t>
  </si>
  <si>
    <t>Insert new rows ABOVE this one</t>
  </si>
  <si>
    <t>Work Breakdown</t>
  </si>
  <si>
    <t>اعمال الحفر</t>
  </si>
  <si>
    <t>خرسانه عاديه</t>
  </si>
  <si>
    <t>القواعد والميد</t>
  </si>
  <si>
    <t>اعمده</t>
  </si>
  <si>
    <t>سقف</t>
  </si>
  <si>
    <t>معماري</t>
  </si>
  <si>
    <t xml:space="preserve">ميكانيكا </t>
  </si>
  <si>
    <t>كهربا</t>
  </si>
  <si>
    <t>الكميه المنفذه</t>
  </si>
  <si>
    <t>الكميه المنفذة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</si>
</sst>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
    <numFmt numFmtId="165" formatCode="ddd&quot;, &quot;m/d/yyyy"/>
    <numFmt numFmtId="166" formatCode="dd/mm/yyyy"/>
    <numFmt numFmtId="167" formatCode="yyyy\-mm\-dd"/>
    <numFmt numFmtId="168" formatCode="mmm\ d&quot;, &quot;yyyy"/>
    <numFmt numFmtId="169" formatCode="dd/mm"/>
    <numFmt numFmtId="170" formatCode="d"/>
    <numFmt numFmtId="171" formatCode="[$-409]d\-mmm\-yyyy;@"/>
  </numFmts>
  <fonts count="33" x14ac:knownFonts="1">
    <font>
      <sz val="11"/>
      <color theme="1"/>
      <name val="Arial"/>
      <family val="2"/>
      <charset val="1"/>
    </font>
    <font>
      <sz val="10"/>
      <name val="Arial"/>
      <family val="2"/>
      <charset val="1"/>
    </font>
    <font>
      <sz val="11"/>
      <color theme="0"/>
      <name val="Arial"/>
      <family val="2"/>
      <charset val="1"/>
    </font>
    <font>
      <b/>
      <sz val="40"/>
      <color theme="9"/>
      <name val="Arial Black"/>
      <family val="2"/>
      <charset val="1"/>
    </font>
    <font>
      <b/>
      <sz val="9"/>
      <name val="Arial"/>
      <family val="2"/>
      <charset val="1"/>
    </font>
    <font>
      <sz val="9"/>
      <name val="Cambria"/>
      <family val="1"/>
    </font>
    <font>
      <sz val="16"/>
      <color theme="1"/>
      <name val="Arial"/>
      <family val="2"/>
      <charset val="1"/>
    </font>
    <font>
      <b/>
      <sz val="16"/>
      <color theme="9"/>
      <name val="Arial Black"/>
      <family val="2"/>
      <charset val="1"/>
    </font>
    <font>
      <b/>
      <sz val="16"/>
      <color theme="9"/>
      <name val="Arial"/>
      <family val="2"/>
      <charset val="1"/>
    </font>
    <font>
      <b/>
      <sz val="11"/>
      <name val="Arial"/>
      <family val="2"/>
      <charset val="1"/>
    </font>
    <font>
      <b/>
      <sz val="8"/>
      <color rgb="FFFFFFFF"/>
      <name val="Arial"/>
      <family val="2"/>
      <charset val="1"/>
    </font>
    <font>
      <b/>
      <sz val="8"/>
      <name val="Arial"/>
      <family val="2"/>
      <charset val="1"/>
    </font>
    <font>
      <b/>
      <sz val="11"/>
      <color rgb="FFFFFFFF"/>
      <name val="Arial"/>
      <family val="2"/>
      <charset val="1"/>
    </font>
    <font>
      <sz val="10"/>
      <color theme="1"/>
      <name val="Arial"/>
      <family val="2"/>
      <charset val="1"/>
    </font>
    <font>
      <b/>
      <sz val="16"/>
      <color theme="1"/>
      <name val="Arial"/>
      <family val="2"/>
      <charset val="1"/>
    </font>
    <font>
      <b/>
      <sz val="8"/>
      <name val="Cambria"/>
      <family val="1"/>
    </font>
    <font>
      <b/>
      <sz val="9"/>
      <color rgb="FFFFFFFF"/>
      <name val="Arial"/>
      <family val="2"/>
      <charset val="1"/>
    </font>
    <font>
      <b/>
      <sz val="8"/>
      <color theme="1"/>
      <name val="Arial"/>
      <family val="2"/>
      <charset val="1"/>
    </font>
    <font>
      <b/>
      <sz val="14"/>
      <name val="Arial"/>
      <family val="2"/>
      <charset val="1"/>
    </font>
    <font>
      <b/>
      <sz val="14"/>
      <color theme="1"/>
      <name val="Arial"/>
      <family val="2"/>
      <charset val="1"/>
    </font>
    <font>
      <sz val="11"/>
      <name val="Arial"/>
      <family val="2"/>
      <charset val="1"/>
    </font>
    <font>
      <b/>
      <sz val="14"/>
      <color rgb="FF002060"/>
      <name val="Arial"/>
      <family val="2"/>
      <charset val="1"/>
    </font>
    <font>
      <sz val="10"/>
      <name val="Arial"/>
      <family val="2"/>
    </font>
    <font>
      <b/>
      <sz val="11"/>
      <color theme="0"/>
      <name val="Arial"/>
      <family val="2"/>
      <charset val="1"/>
    </font>
    <font>
      <b/>
      <sz val="10"/>
      <color theme="1"/>
      <name val="Arial"/>
      <family val="2"/>
      <charset val="1"/>
    </font>
    <font>
      <b/>
      <sz val="14"/>
      <color theme="9" tint="-0.499984740745262"/>
      <name val="Arial"/>
      <family val="2"/>
      <charset val="1"/>
    </font>
    <font>
      <b/>
      <sz val="16"/>
      <color rgb="FF000000"/>
      <name val="Arial"/>
      <family val="2"/>
      <charset val="1"/>
    </font>
    <font>
      <sz val="17"/>
      <name val="Sakkal Majalla"/>
    </font>
    <font>
      <b/>
      <sz val="10"/>
      <name val="Arial"/>
      <family val="2"/>
      <charset val="1"/>
    </font>
    <font>
      <i/>
      <sz val="10"/>
      <color theme="1"/>
      <name val="Arial"/>
      <family val="2"/>
      <charset val="1"/>
    </font>
    <font>
      <sz val="10"/>
      <color theme="1" tint="0.49977111117893003"/>
      <name val="Arial"/>
      <family val="2"/>
      <charset val="1"/>
    </font>
    <font>
      <b/>
      <sz val="14"/>
      <name val="Sakkal Majalla"/>
    </font>
    <font>
      <sz val="11"/>
      <color theme="1"/>
      <name val="Arial"/>
      <family val="2"/>
      <charset val="1"/>
    </font>
  </fonts>
  <fills count="14">
    <fill>
      <patternFill patternType="none"/>
    </fill>
    <fill>
      <patternFill patternType="gray125"/>
    </fill>
    <fill>
      <patternFill patternType="solid">
        <fgColor rgb="FF00B050"/>
        <bgColor rgb="FF008080"/>
      </patternFill>
    </fill>
    <fill>
      <patternFill patternType="solid">
        <fgColor rgb="FFBFBFBF"/>
        <bgColor rgb="FFAEAEAE"/>
      </patternFill>
    </fill>
    <fill>
      <patternFill patternType="solid">
        <fgColor rgb="FFFFF2CC"/>
        <bgColor rgb="FFF2F2F2"/>
      </patternFill>
    </fill>
    <fill>
      <patternFill patternType="solid">
        <fgColor rgb="FF1F4E78"/>
        <bgColor rgb="FF093270"/>
      </patternFill>
    </fill>
    <fill>
      <patternFill patternType="solid">
        <fgColor theme="0" tint="-4.9989318521683403E-2"/>
        <bgColor rgb="FFE8E8E8"/>
      </patternFill>
    </fill>
    <fill>
      <patternFill patternType="solid">
        <fgColor theme="2" tint="-0.249977111117893"/>
        <bgColor rgb="FFADADAD"/>
      </patternFill>
    </fill>
    <fill>
      <patternFill patternType="solid">
        <fgColor rgb="FFD9E1F2"/>
        <bgColor rgb="FFD9D9D9"/>
      </patternFill>
    </fill>
    <fill>
      <patternFill patternType="solid">
        <fgColor theme="0" tint="-0.14999847407452621"/>
        <bgColor rgb="FFD1D1D1"/>
      </patternFill>
    </fill>
    <fill>
      <patternFill patternType="solid">
        <fgColor rgb="FF2E75B6"/>
        <bgColor rgb="FF1363DF"/>
      </patternFill>
    </fill>
    <fill>
      <patternFill patternType="solid">
        <fgColor theme="2" tint="-9.9978637043366805E-2"/>
        <bgColor rgb="FFD9D9D9"/>
      </patternFill>
    </fill>
    <fill>
      <patternFill patternType="solid">
        <fgColor theme="2"/>
        <bgColor rgb="FFF2F2F2"/>
      </patternFill>
    </fill>
    <fill>
      <patternFill patternType="solid">
        <fgColor rgb="FFADADAD"/>
        <bgColor rgb="FFAEAEAE"/>
      </patternFill>
    </fill>
  </fills>
  <borders count="75">
    <border>
      <left/>
      <right/>
      <top/>
      <bottom/>
      <diagonal/>
    </border>
    <border>
      <left/>
      <right/>
      <top style="medium">
        <color theme="0" tint="-0.14999847407452621"/>
      </top>
      <bottom style="medium">
        <color theme="0" tint="-0.149998474074526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1" tint="0.49977111117893003"/>
      </right>
      <top style="thin">
        <color theme="1" tint="0.49977111117893003"/>
      </top>
      <bottom style="thin">
        <color theme="1" tint="0.49977111117893003"/>
      </bottom>
      <diagonal/>
    </border>
    <border>
      <left style="thin">
        <color theme="1" tint="0.49977111117893003"/>
      </left>
      <right style="thin">
        <color theme="1" tint="0.49977111117893003"/>
      </right>
      <top style="thin">
        <color theme="1" tint="0.49977111117893003"/>
      </top>
      <bottom style="thin">
        <color theme="1" tint="0.49977111117893003"/>
      </bottom>
      <diagonal/>
    </border>
    <border>
      <left style="medium">
        <color auto="1"/>
      </left>
      <right style="thin">
        <color auto="1"/>
      </right>
      <top style="medium">
        <color auto="1"/>
      </top>
      <bottom style="thin">
        <color theme="1" tint="0.49977111117893003"/>
      </bottom>
      <diagonal/>
    </border>
    <border>
      <left style="thin">
        <color auto="1"/>
      </left>
      <right style="thin">
        <color auto="1"/>
      </right>
      <top style="medium">
        <color auto="1"/>
      </top>
      <bottom style="thin">
        <color theme="1" tint="0.49977111117893003"/>
      </bottom>
      <diagonal/>
    </border>
    <border>
      <left style="thin">
        <color auto="1"/>
      </left>
      <right style="medium">
        <color auto="1"/>
      </right>
      <top style="medium">
        <color auto="1"/>
      </top>
      <bottom style="medium">
        <color auto="1"/>
      </bottom>
      <diagonal/>
    </border>
    <border>
      <left/>
      <right style="thin">
        <color auto="1"/>
      </right>
      <top style="medium">
        <color auto="1"/>
      </top>
      <bottom style="thin">
        <color theme="1" tint="0.49977111117893003"/>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theme="1" tint="0.49977111117893003"/>
      </bottom>
      <diagonal/>
    </border>
    <border>
      <left style="thin">
        <color rgb="FFBFBFBF"/>
      </left>
      <right style="thin">
        <color rgb="FFBFBFBF"/>
      </right>
      <top style="thin">
        <color rgb="FFBFBFBF"/>
      </top>
      <bottom style="thin">
        <color rgb="FFBFBFBF"/>
      </bottom>
      <diagonal/>
    </border>
    <border>
      <left style="thin">
        <color theme="1" tint="0.49977111117893003"/>
      </left>
      <right/>
      <top style="thin">
        <color theme="1" tint="0.49977111117893003"/>
      </top>
      <bottom style="thin">
        <color theme="1" tint="0.49977111117893003"/>
      </bottom>
      <diagonal/>
    </border>
    <border>
      <left/>
      <right/>
      <top style="thin">
        <color theme="1" tint="0.49977111117893003"/>
      </top>
      <bottom style="thin">
        <color theme="1" tint="0.49977111117893003"/>
      </bottom>
      <diagonal/>
    </border>
    <border>
      <left style="thin">
        <color theme="1" tint="0.49977111117893003"/>
      </left>
      <right style="thin">
        <color theme="1" tint="0.49977111117893003"/>
      </right>
      <top style="thin">
        <color theme="1" tint="0.49977111117893003"/>
      </top>
      <bottom/>
      <diagonal/>
    </border>
    <border>
      <left style="thin">
        <color theme="1" tint="0.49977111117893003"/>
      </left>
      <right/>
      <top style="thin">
        <color theme="1" tint="0.49977111117893003"/>
      </top>
      <bottom/>
      <diagonal/>
    </border>
    <border>
      <left style="thin">
        <color theme="0" tint="-0.14999847407452621"/>
      </left>
      <right style="thin">
        <color theme="0" tint="-0.14999847407452621"/>
      </right>
      <top/>
      <bottom/>
      <diagonal/>
    </border>
    <border>
      <left style="thin">
        <color auto="1"/>
      </left>
      <right style="thin">
        <color auto="1"/>
      </right>
      <top style="medium">
        <color auto="1"/>
      </top>
      <bottom style="dashDot">
        <color auto="1"/>
      </bottom>
      <diagonal/>
    </border>
    <border>
      <left style="thin">
        <color auto="1"/>
      </left>
      <right style="medium">
        <color auto="1"/>
      </right>
      <top style="medium">
        <color auto="1"/>
      </top>
      <bottom style="dashDot">
        <color auto="1"/>
      </bottom>
      <diagonal/>
    </border>
    <border>
      <left style="medium">
        <color auto="1"/>
      </left>
      <right style="dashed">
        <color auto="1"/>
      </right>
      <top style="medium">
        <color auto="1"/>
      </top>
      <bottom style="dashDot">
        <color auto="1"/>
      </bottom>
      <diagonal/>
    </border>
    <border>
      <left/>
      <right style="dashed">
        <color auto="1"/>
      </right>
      <top style="medium">
        <color auto="1"/>
      </top>
      <bottom style="dashDot">
        <color auto="1"/>
      </bottom>
      <diagonal/>
    </border>
    <border>
      <left style="dashed">
        <color auto="1"/>
      </left>
      <right style="dashed">
        <color auto="1"/>
      </right>
      <top style="medium">
        <color auto="1"/>
      </top>
      <bottom style="dashDot">
        <color auto="1"/>
      </bottom>
      <diagonal/>
    </border>
    <border>
      <left style="dashed">
        <color auto="1"/>
      </left>
      <right/>
      <top style="medium">
        <color auto="1"/>
      </top>
      <bottom style="dashDot">
        <color auto="1"/>
      </bottom>
      <diagonal/>
    </border>
    <border>
      <left style="medium">
        <color theme="1"/>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right/>
      <top style="thin">
        <color theme="0" tint="-4.9989318521683403E-2"/>
      </top>
      <bottom/>
      <diagonal/>
    </border>
    <border>
      <left style="thin">
        <color auto="1"/>
      </left>
      <right style="thin">
        <color auto="1"/>
      </right>
      <top style="dashDot">
        <color auto="1"/>
      </top>
      <bottom style="medium">
        <color auto="1"/>
      </bottom>
      <diagonal/>
    </border>
    <border>
      <left style="thin">
        <color auto="1"/>
      </left>
      <right style="medium">
        <color auto="1"/>
      </right>
      <top style="dashDot">
        <color auto="1"/>
      </top>
      <bottom style="medium">
        <color auto="1"/>
      </bottom>
      <diagonal/>
    </border>
    <border>
      <left style="medium">
        <color auto="1"/>
      </left>
      <right style="dashed">
        <color auto="1"/>
      </right>
      <top style="dashDot">
        <color auto="1"/>
      </top>
      <bottom style="medium">
        <color auto="1"/>
      </bottom>
      <diagonal/>
    </border>
    <border>
      <left/>
      <right style="dashed">
        <color auto="1"/>
      </right>
      <top style="dashDot">
        <color auto="1"/>
      </top>
      <bottom style="medium">
        <color auto="1"/>
      </bottom>
      <diagonal/>
    </border>
    <border>
      <left style="dashed">
        <color auto="1"/>
      </left>
      <right style="dashed">
        <color auto="1"/>
      </right>
      <top style="dashDot">
        <color auto="1"/>
      </top>
      <bottom style="medium">
        <color auto="1"/>
      </bottom>
      <diagonal/>
    </border>
    <border>
      <left style="dashed">
        <color auto="1"/>
      </left>
      <right/>
      <top style="dashDot">
        <color auto="1"/>
      </top>
      <bottom style="medium">
        <color auto="1"/>
      </bottom>
      <diagonal/>
    </border>
    <border>
      <left style="medium">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dashed">
        <color auto="1"/>
      </right>
      <top/>
      <bottom style="dashDot">
        <color auto="1"/>
      </bottom>
      <diagonal/>
    </border>
    <border>
      <left/>
      <right style="dashed">
        <color auto="1"/>
      </right>
      <top/>
      <bottom style="dashDot">
        <color auto="1"/>
      </bottom>
      <diagonal/>
    </border>
    <border>
      <left style="dashed">
        <color auto="1"/>
      </left>
      <right style="dashed">
        <color auto="1"/>
      </right>
      <top/>
      <bottom style="dashDot">
        <color auto="1"/>
      </bottom>
      <diagonal/>
    </border>
    <border>
      <left style="dashed">
        <color auto="1"/>
      </left>
      <right/>
      <top/>
      <bottom style="dashDot">
        <color auto="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auto="1"/>
      </left>
      <right style="dashed">
        <color auto="1"/>
      </right>
      <top style="dashDot">
        <color auto="1"/>
      </top>
      <bottom style="dashDot">
        <color auto="1"/>
      </bottom>
      <diagonal/>
    </border>
    <border>
      <left/>
      <right style="dashed">
        <color auto="1"/>
      </right>
      <top style="dashDot">
        <color auto="1"/>
      </top>
      <bottom style="dashDot">
        <color auto="1"/>
      </bottom>
      <diagonal/>
    </border>
    <border>
      <left style="dashed">
        <color auto="1"/>
      </left>
      <right style="dashed">
        <color auto="1"/>
      </right>
      <top style="dashDot">
        <color auto="1"/>
      </top>
      <bottom style="dashDot">
        <color auto="1"/>
      </bottom>
      <diagonal/>
    </border>
    <border>
      <left style="dashed">
        <color auto="1"/>
      </left>
      <right/>
      <top style="dashDot">
        <color auto="1"/>
      </top>
      <bottom style="dashDot">
        <color auto="1"/>
      </bottom>
      <diagonal/>
    </border>
    <border>
      <left/>
      <right style="dashed">
        <color auto="1"/>
      </right>
      <top style="dashDot">
        <color auto="1"/>
      </top>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right/>
      <top/>
      <bottom style="thin">
        <color theme="0" tint="-4.9989318521683403E-2"/>
      </bottom>
      <diagonal/>
    </border>
    <border>
      <left style="thin">
        <color auto="1"/>
      </left>
      <right style="thin">
        <color auto="1"/>
      </right>
      <top style="thin">
        <color auto="1"/>
      </top>
      <bottom style="medium">
        <color auto="1"/>
      </bottom>
      <diagonal/>
    </border>
    <border>
      <left/>
      <right/>
      <top style="thin">
        <color theme="0" tint="-4.9989318521683403E-2"/>
      </top>
      <bottom style="thin">
        <color theme="0" tint="-4.9989318521683403E-2"/>
      </bottom>
      <diagonal/>
    </border>
    <border>
      <left style="medium">
        <color theme="1"/>
      </left>
      <right style="thin">
        <color theme="1"/>
      </right>
      <top/>
      <bottom style="thin">
        <color theme="1"/>
      </bottom>
      <diagonal/>
    </border>
    <border>
      <left style="thin">
        <color auto="1"/>
      </left>
      <right style="thin">
        <color auto="1"/>
      </right>
      <top style="thin">
        <color theme="1" tint="0.49977111117893003"/>
      </top>
      <bottom style="thin">
        <color theme="1" tint="0.49977111117893003"/>
      </bottom>
      <diagonal/>
    </border>
    <border>
      <left style="dashed">
        <color auto="1"/>
      </left>
      <right style="medium">
        <color auto="1"/>
      </right>
      <top style="medium">
        <color auto="1"/>
      </top>
      <bottom style="dashDot">
        <color auto="1"/>
      </bottom>
      <diagonal/>
    </border>
    <border>
      <left style="dashed">
        <color auto="1"/>
      </left>
      <right style="medium">
        <color auto="1"/>
      </right>
      <top style="dashDot">
        <color auto="1"/>
      </top>
      <bottom style="medium">
        <color auto="1"/>
      </bottom>
      <diagonal/>
    </border>
    <border>
      <left style="dashed">
        <color auto="1"/>
      </left>
      <right style="medium">
        <color auto="1"/>
      </right>
      <top/>
      <bottom style="dashDot">
        <color auto="1"/>
      </bottom>
      <diagonal/>
    </border>
    <border>
      <left style="dashed">
        <color auto="1"/>
      </left>
      <right style="medium">
        <color auto="1"/>
      </right>
      <top style="dashDot">
        <color auto="1"/>
      </top>
      <bottom style="dashDot">
        <color auto="1"/>
      </bottom>
      <diagonal/>
    </border>
    <border>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style="dashed">
        <color auto="1"/>
      </bottom>
      <diagonal/>
    </border>
    <border>
      <left style="thin">
        <color auto="1"/>
      </left>
      <right/>
      <top style="dashed">
        <color auto="1"/>
      </top>
      <bottom style="dashed">
        <color auto="1"/>
      </bottom>
      <diagonal/>
    </border>
    <border>
      <left style="thin">
        <color auto="1"/>
      </left>
      <right/>
      <top style="dashed">
        <color auto="1"/>
      </top>
      <bottom style="medium">
        <color auto="1"/>
      </bottom>
      <diagonal/>
    </border>
    <border>
      <left style="thin">
        <color auto="1"/>
      </left>
      <right/>
      <top style="medium">
        <color auto="1"/>
      </top>
      <bottom style="dotted">
        <color auto="1"/>
      </bottom>
      <diagonal/>
    </border>
    <border>
      <left style="thin">
        <color auto="1"/>
      </left>
      <right/>
      <top style="dotted">
        <color auto="1"/>
      </top>
      <bottom style="medium">
        <color auto="1"/>
      </bottom>
      <diagonal/>
    </border>
    <border>
      <left style="thin">
        <color auto="1"/>
      </left>
      <right/>
      <top style="medium">
        <color auto="1"/>
      </top>
      <bottom/>
      <diagonal/>
    </border>
    <border>
      <left style="thin">
        <color auto="1"/>
      </left>
      <right/>
      <top/>
      <bottom style="dashed">
        <color auto="1"/>
      </bottom>
      <diagonal/>
    </border>
    <border>
      <left style="thin">
        <color auto="1"/>
      </left>
      <right/>
      <top style="dashed">
        <color auto="1"/>
      </top>
      <bottom/>
      <diagonal/>
    </border>
  </borders>
  <cellStyleXfs count="8">
    <xf numFmtId="0" fontId="0" fillId="0" borderId="0"/>
    <xf numFmtId="164" fontId="32" fillId="0" borderId="1">
      <alignment horizontal="center" vertical="center"/>
    </xf>
    <xf numFmtId="0" fontId="32" fillId="0" borderId="1">
      <alignment horizontal="center" vertical="center"/>
    </xf>
    <xf numFmtId="0" fontId="1" fillId="0" borderId="0"/>
    <xf numFmtId="165" fontId="32" fillId="0" borderId="2">
      <alignment horizontal="center" vertical="center"/>
    </xf>
    <xf numFmtId="0" fontId="32" fillId="0" borderId="1">
      <alignment horizontal="left" vertical="center" indent="2"/>
    </xf>
    <xf numFmtId="0" fontId="2" fillId="0" borderId="0"/>
    <xf numFmtId="9" fontId="32" fillId="0" borderId="0" applyFont="0" applyFill="0" applyBorder="0" applyAlignment="0" applyProtection="0"/>
  </cellStyleXfs>
  <cellXfs count="158">
    <xf numFmtId="0" fontId="0" fillId="0" borderId="0" xfId="0"/>
    <xf numFmtId="0" fontId="2" fillId="0" borderId="0" xfId="0" applyFont="1"/>
    <xf numFmtId="0" fontId="0" fillId="0" borderId="0" xfId="0" applyAlignment="1">
      <alignment horizontal="center"/>
    </xf>
    <xf numFmtId="0" fontId="1" fillId="0" borderId="0" xfId="0" applyFont="1" applyAlignment="1">
      <alignment horizontal="center" vertical="center"/>
    </xf>
    <xf numFmtId="0" fontId="1" fillId="0" borderId="0" xfId="0" applyFont="1"/>
    <xf numFmtId="0" fontId="4" fillId="0" borderId="0" xfId="0" applyFont="1" applyAlignment="1">
      <alignment horizontal="center" vertical="center" wrapText="1"/>
    </xf>
    <xf numFmtId="166" fontId="5" fillId="0" borderId="0" xfId="0" applyNumberFormat="1" applyFont="1" applyAlignment="1">
      <alignment horizontal="center" vertical="center" wrapText="1"/>
    </xf>
    <xf numFmtId="0" fontId="6" fillId="0" borderId="0" xfId="0" applyFont="1"/>
    <xf numFmtId="167" fontId="7" fillId="0" borderId="0" xfId="0" applyNumberFormat="1" applyFont="1" applyAlignment="1">
      <alignment horizontal="left"/>
    </xf>
    <xf numFmtId="0" fontId="8" fillId="0" borderId="0" xfId="0" applyFont="1" applyAlignment="1">
      <alignment horizontal="left" vertical="center" indent="1"/>
    </xf>
    <xf numFmtId="0" fontId="4" fillId="0" borderId="0" xfId="0" applyFont="1" applyAlignment="1">
      <alignment horizontal="left"/>
    </xf>
    <xf numFmtId="0" fontId="4" fillId="0" borderId="0" xfId="0" applyFont="1"/>
    <xf numFmtId="0" fontId="7" fillId="0" borderId="0" xfId="0" applyFont="1" applyAlignment="1">
      <alignment horizontal="left"/>
    </xf>
    <xf numFmtId="0" fontId="9" fillId="0" borderId="0" xfId="0" applyFont="1" applyAlignment="1">
      <alignment horizontal="left" indent="1"/>
    </xf>
    <xf numFmtId="0" fontId="0" fillId="0" borderId="0" xfId="0" applyAlignment="1">
      <alignment horizontal="right" indent="1"/>
    </xf>
    <xf numFmtId="0" fontId="10" fillId="2" borderId="0" xfId="0" applyFont="1" applyFill="1" applyAlignment="1">
      <alignment horizontal="center" vertical="center" wrapText="1"/>
    </xf>
    <xf numFmtId="0" fontId="11" fillId="3" borderId="0" xfId="0" applyFont="1" applyFill="1" applyAlignment="1">
      <alignment horizontal="center" vertical="center" wrapText="1"/>
    </xf>
    <xf numFmtId="0" fontId="11" fillId="4" borderId="0" xfId="0" applyFont="1" applyFill="1" applyAlignment="1">
      <alignment horizontal="center" vertical="center" wrapText="1"/>
    </xf>
    <xf numFmtId="0" fontId="2" fillId="0" borderId="0" xfId="0" applyFont="1" applyAlignment="1">
      <alignment wrapText="1"/>
    </xf>
    <xf numFmtId="0" fontId="1" fillId="0" borderId="0" xfId="0" applyFont="1" applyAlignment="1">
      <alignment horizontal="left" vertical="top" indent="1"/>
    </xf>
    <xf numFmtId="0" fontId="0" fillId="0" borderId="0" xfId="0" applyAlignment="1">
      <alignment horizontal="left" indent="1"/>
    </xf>
    <xf numFmtId="168" fontId="13" fillId="6" borderId="4" xfId="0" applyNumberFormat="1" applyFont="1" applyFill="1" applyBorder="1" applyAlignment="1">
      <alignment horizontal="center" vertical="center" wrapText="1"/>
    </xf>
    <xf numFmtId="169" fontId="15" fillId="8" borderId="12" xfId="0" applyNumberFormat="1" applyFont="1" applyFill="1" applyBorder="1" applyAlignment="1">
      <alignment horizontal="center" vertical="center" wrapText="1"/>
    </xf>
    <xf numFmtId="170" fontId="11" fillId="9" borderId="3" xfId="0" applyNumberFormat="1" applyFont="1" applyFill="1" applyBorder="1" applyAlignment="1">
      <alignment horizontal="center" vertical="center"/>
    </xf>
    <xf numFmtId="170" fontId="11" fillId="9" borderId="13" xfId="0" applyNumberFormat="1" applyFont="1" applyFill="1" applyBorder="1" applyAlignment="1">
      <alignment horizontal="center" vertical="center"/>
    </xf>
    <xf numFmtId="170" fontId="11" fillId="9" borderId="14" xfId="0" applyNumberFormat="1" applyFont="1" applyFill="1" applyBorder="1" applyAlignment="1">
      <alignment horizontal="center" vertical="center"/>
    </xf>
    <xf numFmtId="0" fontId="16" fillId="10" borderId="12" xfId="0" applyFont="1" applyFill="1" applyBorder="1" applyAlignment="1">
      <alignment horizontal="center" vertical="center" wrapText="1"/>
    </xf>
    <xf numFmtId="0" fontId="17" fillId="6" borderId="15" xfId="0" applyFont="1" applyFill="1" applyBorder="1" applyAlignment="1">
      <alignment horizontal="center" vertical="center" shrinkToFit="1"/>
    </xf>
    <xf numFmtId="0" fontId="17" fillId="6" borderId="16" xfId="0" applyFont="1" applyFill="1" applyBorder="1" applyAlignment="1">
      <alignment horizontal="center" vertical="center" shrinkToFit="1"/>
    </xf>
    <xf numFmtId="0" fontId="13" fillId="0" borderId="0" xfId="0" applyFont="1"/>
    <xf numFmtId="0" fontId="0" fillId="0" borderId="17" xfId="0" applyBorder="1" applyAlignment="1">
      <alignment vertical="center"/>
    </xf>
    <xf numFmtId="0" fontId="18" fillId="11" borderId="18" xfId="0" applyFont="1" applyFill="1" applyBorder="1" applyAlignment="1">
      <alignment horizontal="right" vertical="center"/>
    </xf>
    <xf numFmtId="0" fontId="18" fillId="12" borderId="19" xfId="0" applyFont="1" applyFill="1" applyBorder="1" applyAlignment="1">
      <alignment horizontal="center" vertical="center"/>
    </xf>
    <xf numFmtId="3" fontId="19" fillId="12" borderId="20" xfId="0" applyNumberFormat="1" applyFont="1" applyFill="1" applyBorder="1" applyAlignment="1">
      <alignment horizontal="center" vertical="center"/>
    </xf>
    <xf numFmtId="3" fontId="19" fillId="12" borderId="21" xfId="0" applyNumberFormat="1" applyFont="1" applyFill="1" applyBorder="1" applyAlignment="1">
      <alignment horizontal="center" vertical="center"/>
    </xf>
    <xf numFmtId="3" fontId="19" fillId="12" borderId="22" xfId="0" applyNumberFormat="1" applyFont="1" applyFill="1" applyBorder="1" applyAlignment="1">
      <alignment horizontal="center" vertical="center"/>
    </xf>
    <xf numFmtId="3" fontId="19" fillId="12" borderId="23" xfId="0" applyNumberFormat="1" applyFont="1" applyFill="1" applyBorder="1" applyAlignment="1">
      <alignment horizontal="center" vertical="center"/>
    </xf>
    <xf numFmtId="9" fontId="1" fillId="11" borderId="24" xfId="0" applyNumberFormat="1" applyFont="1" applyFill="1" applyBorder="1" applyAlignment="1">
      <alignment horizontal="center" vertical="center" wrapText="1"/>
    </xf>
    <xf numFmtId="171" fontId="13" fillId="11" borderId="25" xfId="0" applyNumberFormat="1" applyFont="1" applyFill="1" applyBorder="1" applyAlignment="1">
      <alignment horizontal="center" vertical="center" wrapText="1"/>
    </xf>
    <xf numFmtId="171" fontId="1" fillId="11" borderId="26" xfId="0" applyNumberFormat="1" applyFont="1" applyFill="1" applyBorder="1" applyAlignment="1">
      <alignment horizontal="center" vertical="center" wrapText="1"/>
    </xf>
    <xf numFmtId="0" fontId="20" fillId="0" borderId="0" xfId="0" applyFont="1" applyAlignment="1">
      <alignment horizontal="center" vertical="center"/>
    </xf>
    <xf numFmtId="0" fontId="20" fillId="0" borderId="1" xfId="0" applyFont="1" applyBorder="1" applyAlignment="1">
      <alignment horizontal="center" vertical="center"/>
    </xf>
    <xf numFmtId="0" fontId="0" fillId="0" borderId="27" xfId="0" applyBorder="1" applyAlignment="1">
      <alignment vertical="center"/>
    </xf>
    <xf numFmtId="0" fontId="0" fillId="0" borderId="0" xfId="0" applyAlignment="1">
      <alignment vertical="center"/>
    </xf>
    <xf numFmtId="0" fontId="18" fillId="11" borderId="28" xfId="0" applyFont="1" applyFill="1" applyBorder="1" applyAlignment="1">
      <alignment horizontal="right" vertical="center"/>
    </xf>
    <xf numFmtId="0" fontId="18" fillId="12" borderId="29" xfId="0" applyFont="1" applyFill="1" applyBorder="1" applyAlignment="1">
      <alignment horizontal="center" vertical="center"/>
    </xf>
    <xf numFmtId="3" fontId="19" fillId="12" borderId="30" xfId="0" applyNumberFormat="1" applyFont="1" applyFill="1" applyBorder="1" applyAlignment="1">
      <alignment horizontal="center" vertical="center"/>
    </xf>
    <xf numFmtId="3" fontId="19" fillId="12" borderId="31" xfId="0" applyNumberFormat="1" applyFont="1" applyFill="1" applyBorder="1" applyAlignment="1">
      <alignment horizontal="center" vertical="center"/>
    </xf>
    <xf numFmtId="3" fontId="19" fillId="12" borderId="32" xfId="0" applyNumberFormat="1" applyFont="1" applyFill="1" applyBorder="1" applyAlignment="1">
      <alignment horizontal="center" vertical="center"/>
    </xf>
    <xf numFmtId="3" fontId="19" fillId="12" borderId="33" xfId="0" applyNumberFormat="1" applyFont="1" applyFill="1" applyBorder="1" applyAlignment="1">
      <alignment horizontal="center" vertical="center"/>
    </xf>
    <xf numFmtId="9" fontId="1" fillId="11" borderId="34" xfId="0" applyNumberFormat="1" applyFont="1" applyFill="1" applyBorder="1" applyAlignment="1">
      <alignment horizontal="center" vertical="center" wrapText="1"/>
    </xf>
    <xf numFmtId="171" fontId="13" fillId="11" borderId="35" xfId="0" applyNumberFormat="1" applyFont="1" applyFill="1" applyBorder="1" applyAlignment="1">
      <alignment horizontal="center" vertical="center" wrapText="1"/>
    </xf>
    <xf numFmtId="171" fontId="13" fillId="11" borderId="36" xfId="0" applyNumberFormat="1" applyFont="1" applyFill="1" applyBorder="1" applyAlignment="1">
      <alignment horizontal="center" vertical="center" wrapText="1"/>
    </xf>
    <xf numFmtId="0" fontId="0" fillId="0" borderId="37" xfId="0" applyBorder="1" applyAlignment="1">
      <alignment vertical="center"/>
    </xf>
    <xf numFmtId="0" fontId="18" fillId="11" borderId="38" xfId="0" applyFont="1" applyFill="1" applyBorder="1" applyAlignment="1">
      <alignment horizontal="right" vertical="center"/>
    </xf>
    <xf numFmtId="0" fontId="18" fillId="12" borderId="39" xfId="0" applyFont="1" applyFill="1" applyBorder="1" applyAlignment="1">
      <alignment horizontal="center" vertical="center"/>
    </xf>
    <xf numFmtId="3" fontId="19" fillId="12" borderId="40" xfId="0" applyNumberFormat="1" applyFont="1" applyFill="1" applyBorder="1" applyAlignment="1">
      <alignment horizontal="center" vertical="center"/>
    </xf>
    <xf numFmtId="3" fontId="19" fillId="12" borderId="41" xfId="0" applyNumberFormat="1" applyFont="1" applyFill="1" applyBorder="1" applyAlignment="1">
      <alignment horizontal="center" vertical="center"/>
    </xf>
    <xf numFmtId="3" fontId="21" fillId="12" borderId="42" xfId="0" applyNumberFormat="1" applyFont="1" applyFill="1" applyBorder="1" applyAlignment="1">
      <alignment horizontal="center" vertical="center"/>
    </xf>
    <xf numFmtId="3" fontId="21" fillId="12" borderId="43" xfId="0" applyNumberFormat="1" applyFont="1" applyFill="1" applyBorder="1" applyAlignment="1">
      <alignment horizontal="center" vertical="center"/>
    </xf>
    <xf numFmtId="9" fontId="1" fillId="11" borderId="44" xfId="0" applyNumberFormat="1" applyFont="1" applyFill="1" applyBorder="1" applyAlignment="1">
      <alignment horizontal="center" vertical="center" wrapText="1"/>
    </xf>
    <xf numFmtId="171" fontId="13" fillId="11" borderId="45" xfId="0" applyNumberFormat="1" applyFont="1" applyFill="1" applyBorder="1" applyAlignment="1">
      <alignment horizontal="center" vertical="center" wrapText="1"/>
    </xf>
    <xf numFmtId="171" fontId="13" fillId="11" borderId="46" xfId="0" applyNumberFormat="1" applyFont="1" applyFill="1" applyBorder="1" applyAlignment="1">
      <alignment horizontal="center" vertical="center" wrapText="1"/>
    </xf>
    <xf numFmtId="0" fontId="0" fillId="0" borderId="37" xfId="0" applyBorder="1" applyAlignment="1">
      <alignment horizontal="right" vertical="center"/>
    </xf>
    <xf numFmtId="0" fontId="18" fillId="11" borderId="25" xfId="0" applyFont="1" applyFill="1" applyBorder="1" applyAlignment="1">
      <alignment horizontal="right" vertical="center"/>
    </xf>
    <xf numFmtId="0" fontId="18" fillId="12" borderId="26" xfId="0" applyFont="1" applyFill="1" applyBorder="1" applyAlignment="1">
      <alignment horizontal="center" vertical="center"/>
    </xf>
    <xf numFmtId="3" fontId="19" fillId="12" borderId="47" xfId="0" applyNumberFormat="1" applyFont="1" applyFill="1" applyBorder="1" applyAlignment="1">
      <alignment horizontal="center" vertical="center"/>
    </xf>
    <xf numFmtId="3" fontId="19" fillId="12" borderId="48" xfId="0" applyNumberFormat="1" applyFont="1" applyFill="1" applyBorder="1" applyAlignment="1">
      <alignment horizontal="center" vertical="center"/>
    </xf>
    <xf numFmtId="3" fontId="21" fillId="12" borderId="49" xfId="0" applyNumberFormat="1" applyFont="1" applyFill="1" applyBorder="1" applyAlignment="1">
      <alignment horizontal="center" vertical="center"/>
    </xf>
    <xf numFmtId="3" fontId="21" fillId="12" borderId="50" xfId="0" applyNumberFormat="1" applyFont="1" applyFill="1" applyBorder="1" applyAlignment="1">
      <alignment horizontal="center" vertical="center"/>
    </xf>
    <xf numFmtId="171" fontId="13" fillId="11" borderId="26" xfId="0" applyNumberFormat="1" applyFont="1" applyFill="1" applyBorder="1" applyAlignment="1">
      <alignment horizontal="center" vertical="center" wrapText="1"/>
    </xf>
    <xf numFmtId="1" fontId="0" fillId="0" borderId="37" xfId="0" applyNumberFormat="1" applyBorder="1" applyAlignment="1">
      <alignment vertical="center"/>
    </xf>
    <xf numFmtId="3" fontId="19" fillId="12" borderId="51" xfId="0" applyNumberFormat="1" applyFont="1" applyFill="1" applyBorder="1" applyAlignment="1">
      <alignment horizontal="center" vertical="center"/>
    </xf>
    <xf numFmtId="9" fontId="1" fillId="11" borderId="52" xfId="0" applyNumberFormat="1" applyFont="1" applyFill="1" applyBorder="1" applyAlignment="1">
      <alignment horizontal="center" vertical="center" wrapText="1"/>
    </xf>
    <xf numFmtId="171" fontId="13" fillId="11" borderId="53" xfId="0" applyNumberFormat="1" applyFont="1" applyFill="1" applyBorder="1" applyAlignment="1">
      <alignment horizontal="center" vertical="center" wrapText="1"/>
    </xf>
    <xf numFmtId="0" fontId="18" fillId="11" borderId="45" xfId="0" applyFont="1" applyFill="1" applyBorder="1" applyAlignment="1">
      <alignment horizontal="right" vertical="center"/>
    </xf>
    <xf numFmtId="0" fontId="18" fillId="12" borderId="46" xfId="0" applyFont="1" applyFill="1" applyBorder="1" applyAlignment="1">
      <alignment horizontal="center" vertical="center"/>
    </xf>
    <xf numFmtId="3" fontId="21" fillId="12" borderId="22" xfId="0" applyNumberFormat="1" applyFont="1" applyFill="1" applyBorder="1" applyAlignment="1">
      <alignment horizontal="center" vertical="center"/>
    </xf>
    <xf numFmtId="3" fontId="21" fillId="12" borderId="23" xfId="0" applyNumberFormat="1" applyFont="1" applyFill="1" applyBorder="1" applyAlignment="1">
      <alignment horizontal="center" vertical="center"/>
    </xf>
    <xf numFmtId="0" fontId="0" fillId="0" borderId="54" xfId="0" applyBorder="1" applyAlignment="1">
      <alignment vertical="center"/>
    </xf>
    <xf numFmtId="0" fontId="18" fillId="11" borderId="55" xfId="0" applyFont="1" applyFill="1" applyBorder="1" applyAlignment="1">
      <alignment horizontal="right" vertical="center"/>
    </xf>
    <xf numFmtId="0" fontId="18" fillId="12" borderId="53" xfId="0" applyFont="1" applyFill="1" applyBorder="1" applyAlignment="1">
      <alignment horizontal="center" vertical="center"/>
    </xf>
    <xf numFmtId="3" fontId="21" fillId="12" borderId="32" xfId="0" applyNumberFormat="1" applyFont="1" applyFill="1" applyBorder="1" applyAlignment="1">
      <alignment horizontal="center" vertical="center"/>
    </xf>
    <xf numFmtId="3" fontId="21" fillId="12" borderId="33" xfId="0" applyNumberFormat="1" applyFont="1" applyFill="1" applyBorder="1" applyAlignment="1">
      <alignment horizontal="center" vertical="center"/>
    </xf>
    <xf numFmtId="0" fontId="0" fillId="0" borderId="56" xfId="0" applyBorder="1" applyAlignment="1">
      <alignment vertical="center"/>
    </xf>
    <xf numFmtId="171" fontId="13" fillId="11" borderId="55" xfId="0" applyNumberFormat="1" applyFont="1" applyFill="1" applyBorder="1" applyAlignment="1">
      <alignment horizontal="center" vertical="center" wrapText="1"/>
    </xf>
    <xf numFmtId="3" fontId="19" fillId="12" borderId="49" xfId="0" applyNumberFormat="1" applyFont="1" applyFill="1" applyBorder="1" applyAlignment="1">
      <alignment horizontal="center" vertical="center"/>
    </xf>
    <xf numFmtId="3" fontId="19" fillId="12" borderId="50" xfId="0" applyNumberFormat="1" applyFont="1" applyFill="1" applyBorder="1" applyAlignment="1">
      <alignment horizontal="center" vertical="center"/>
    </xf>
    <xf numFmtId="0" fontId="20" fillId="6" borderId="1" xfId="0" applyFont="1" applyFill="1" applyBorder="1" applyAlignment="1">
      <alignment horizontal="center" vertical="center"/>
    </xf>
    <xf numFmtId="0" fontId="0" fillId="6" borderId="0" xfId="0" applyFill="1" applyAlignment="1">
      <alignment vertical="center"/>
    </xf>
    <xf numFmtId="0" fontId="0" fillId="0" borderId="0" xfId="0" applyAlignment="1">
      <alignment horizontal="right" vertical="center"/>
    </xf>
    <xf numFmtId="9" fontId="1" fillId="11" borderId="57" xfId="0" applyNumberFormat="1" applyFont="1" applyFill="1" applyBorder="1" applyAlignment="1">
      <alignment horizontal="center" vertical="center" wrapText="1"/>
    </xf>
    <xf numFmtId="0" fontId="23" fillId="0" borderId="0" xfId="0" applyFont="1"/>
    <xf numFmtId="0" fontId="24" fillId="0" borderId="0" xfId="0" applyFont="1"/>
    <xf numFmtId="3" fontId="19" fillId="12" borderId="59" xfId="0" applyNumberFormat="1" applyFont="1" applyFill="1" applyBorder="1" applyAlignment="1">
      <alignment horizontal="center" vertical="center"/>
    </xf>
    <xf numFmtId="9" fontId="18" fillId="11" borderId="25" xfId="0" applyNumberFormat="1" applyFont="1" applyFill="1" applyBorder="1" applyAlignment="1">
      <alignment horizontal="center" vertical="center" wrapText="1"/>
    </xf>
    <xf numFmtId="171" fontId="19" fillId="11" borderId="25" xfId="0" applyNumberFormat="1" applyFont="1" applyFill="1" applyBorder="1" applyAlignment="1">
      <alignment horizontal="center" vertical="center" wrapText="1"/>
    </xf>
    <xf numFmtId="171" fontId="18" fillId="11" borderId="25" xfId="0" applyNumberFormat="1" applyFont="1" applyFill="1" applyBorder="1" applyAlignment="1">
      <alignment horizontal="center" vertical="center" wrapText="1"/>
    </xf>
    <xf numFmtId="3" fontId="19" fillId="12" borderId="60" xfId="0" applyNumberFormat="1" applyFont="1" applyFill="1" applyBorder="1" applyAlignment="1">
      <alignment horizontal="center" vertical="center"/>
    </xf>
    <xf numFmtId="3" fontId="25" fillId="12" borderId="61" xfId="0" applyNumberFormat="1" applyFont="1" applyFill="1" applyBorder="1" applyAlignment="1">
      <alignment horizontal="center" vertical="center"/>
    </xf>
    <xf numFmtId="3" fontId="25" fillId="12" borderId="62" xfId="0" applyNumberFormat="1" applyFont="1" applyFill="1" applyBorder="1" applyAlignment="1">
      <alignment horizontal="center" vertical="center"/>
    </xf>
    <xf numFmtId="3" fontId="25" fillId="12" borderId="60" xfId="0" applyNumberFormat="1" applyFont="1" applyFill="1" applyBorder="1" applyAlignment="1">
      <alignment horizontal="center" vertical="center"/>
    </xf>
    <xf numFmtId="3" fontId="25" fillId="12" borderId="59" xfId="0" applyNumberFormat="1" applyFont="1" applyFill="1" applyBorder="1" applyAlignment="1">
      <alignment horizontal="center" vertical="center"/>
    </xf>
    <xf numFmtId="3" fontId="19" fillId="12" borderId="62" xfId="0" applyNumberFormat="1" applyFont="1" applyFill="1" applyBorder="1" applyAlignment="1">
      <alignment horizontal="center" vertical="center"/>
    </xf>
    <xf numFmtId="0" fontId="13" fillId="0" borderId="63" xfId="0" applyFont="1" applyBorder="1"/>
    <xf numFmtId="171" fontId="18" fillId="11" borderId="26" xfId="0" applyNumberFormat="1" applyFont="1" applyFill="1" applyBorder="1" applyAlignment="1">
      <alignment horizontal="center" vertical="center" wrapText="1"/>
    </xf>
    <xf numFmtId="171" fontId="19" fillId="11" borderId="26" xfId="0" applyNumberFormat="1" applyFont="1" applyFill="1" applyBorder="1" applyAlignment="1">
      <alignment horizontal="center" vertical="center" wrapText="1"/>
    </xf>
    <xf numFmtId="0" fontId="19" fillId="11" borderId="25" xfId="0" applyFont="1" applyFill="1" applyBorder="1" applyAlignment="1">
      <alignment horizontal="center" vertical="center" wrapText="1"/>
    </xf>
    <xf numFmtId="0" fontId="27" fillId="12" borderId="67" xfId="3" applyFont="1" applyFill="1" applyBorder="1" applyAlignment="1">
      <alignment horizontal="center" vertical="center" wrapText="1"/>
    </xf>
    <xf numFmtId="0" fontId="28" fillId="12" borderId="29" xfId="0" applyFont="1" applyFill="1" applyBorder="1" applyAlignment="1">
      <alignment horizontal="center" vertical="center"/>
    </xf>
    <xf numFmtId="0" fontId="28" fillId="12" borderId="39" xfId="0" applyFont="1" applyFill="1" applyBorder="1" applyAlignment="1">
      <alignment horizontal="center" vertical="center"/>
    </xf>
    <xf numFmtId="0" fontId="28" fillId="12" borderId="26" xfId="0" applyFont="1" applyFill="1" applyBorder="1" applyAlignment="1">
      <alignment horizontal="center" vertical="center"/>
    </xf>
    <xf numFmtId="0" fontId="28" fillId="12" borderId="46" xfId="0" applyFont="1" applyFill="1" applyBorder="1" applyAlignment="1">
      <alignment horizontal="center" vertical="center"/>
    </xf>
    <xf numFmtId="0" fontId="28" fillId="12" borderId="53" xfId="0" applyFont="1" applyFill="1" applyBorder="1" applyAlignment="1">
      <alignment horizontal="center" vertical="center"/>
    </xf>
    <xf numFmtId="0" fontId="29" fillId="6" borderId="0" xfId="0" applyFont="1" applyFill="1" applyAlignment="1">
      <alignment horizontal="left" vertical="center" indent="1"/>
    </xf>
    <xf numFmtId="9" fontId="1" fillId="6" borderId="0" xfId="0" applyNumberFormat="1" applyFont="1" applyFill="1" applyAlignment="1">
      <alignment horizontal="center" vertical="center"/>
    </xf>
    <xf numFmtId="164" fontId="30" fillId="6" borderId="0" xfId="0" applyNumberFormat="1" applyFont="1" applyFill="1" applyAlignment="1">
      <alignment horizontal="left" vertical="center"/>
    </xf>
    <xf numFmtId="164" fontId="1" fillId="6" borderId="0" xfId="0" applyNumberFormat="1" applyFont="1" applyFill="1" applyAlignment="1">
      <alignment horizontal="center" vertical="center"/>
    </xf>
    <xf numFmtId="0" fontId="2" fillId="0" borderId="0" xfId="0" applyFont="1" applyAlignment="1">
      <alignment horizontal="center"/>
    </xf>
    <xf numFmtId="166" fontId="5" fillId="0" borderId="0" xfId="0" applyNumberFormat="1" applyFont="1"/>
    <xf numFmtId="4" fontId="31" fillId="12" borderId="67" xfId="0" applyNumberFormat="1" applyFont="1" applyFill="1" applyBorder="1" applyAlignment="1">
      <alignment horizontal="center" vertical="center" wrapText="1"/>
    </xf>
    <xf numFmtId="4" fontId="31" fillId="12" borderId="68" xfId="0" applyNumberFormat="1" applyFont="1" applyFill="1" applyBorder="1" applyAlignment="1">
      <alignment horizontal="center" vertical="center" wrapText="1"/>
    </xf>
    <xf numFmtId="4" fontId="31" fillId="12" borderId="69" xfId="0" applyNumberFormat="1" applyFont="1" applyFill="1" applyBorder="1" applyAlignment="1">
      <alignment horizontal="center" vertical="center" wrapText="1"/>
    </xf>
    <xf numFmtId="4" fontId="31" fillId="12" borderId="70" xfId="0" applyNumberFormat="1" applyFont="1" applyFill="1" applyBorder="1" applyAlignment="1">
      <alignment horizontal="center" vertical="center" wrapText="1"/>
    </xf>
    <xf numFmtId="4" fontId="31" fillId="12" borderId="71" xfId="0" applyNumberFormat="1" applyFont="1" applyFill="1" applyBorder="1" applyAlignment="1">
      <alignment horizontal="center" vertical="center" wrapText="1"/>
    </xf>
    <xf numFmtId="2" fontId="0" fillId="0" borderId="37" xfId="0" applyNumberFormat="1" applyBorder="1" applyAlignment="1">
      <alignment vertical="center"/>
    </xf>
    <xf numFmtId="4" fontId="31" fillId="12" borderId="72" xfId="0" applyNumberFormat="1" applyFont="1" applyFill="1" applyBorder="1" applyAlignment="1">
      <alignment horizontal="center" vertical="center" wrapText="1"/>
    </xf>
    <xf numFmtId="4" fontId="31" fillId="12" borderId="73" xfId="0" applyNumberFormat="1" applyFont="1" applyFill="1" applyBorder="1" applyAlignment="1">
      <alignment horizontal="center" vertical="center" wrapText="1"/>
    </xf>
    <xf numFmtId="4" fontId="31" fillId="12" borderId="74" xfId="0" applyNumberFormat="1" applyFont="1" applyFill="1" applyBorder="1" applyAlignment="1">
      <alignment horizontal="center" vertical="center" wrapText="1"/>
    </xf>
    <xf numFmtId="0" fontId="13" fillId="0" borderId="0" xfId="0" applyFont="1" applyAlignment="1">
      <alignment horizontal="left" vertical="center" indent="2"/>
    </xf>
    <xf numFmtId="9" fontId="1" fillId="0" borderId="0" xfId="0" applyNumberFormat="1" applyFont="1" applyAlignment="1">
      <alignment horizontal="center" vertical="center"/>
    </xf>
    <xf numFmtId="164" fontId="13" fillId="0" borderId="0" xfId="0" applyNumberFormat="1" applyFont="1" applyAlignment="1">
      <alignment horizontal="center" vertical="center"/>
    </xf>
    <xf numFmtId="0" fontId="0" fillId="0" borderId="25" xfId="0" applyBorder="1"/>
    <xf numFmtId="10" fontId="0" fillId="0" borderId="25" xfId="0" applyNumberFormat="1" applyBorder="1" applyAlignment="1">
      <alignment horizontal="center" vertical="center"/>
    </xf>
    <xf numFmtId="0" fontId="18" fillId="11" borderId="45" xfId="0" applyFont="1" applyFill="1" applyBorder="1" applyAlignment="1">
      <alignment horizontal="center" vertical="center"/>
    </xf>
    <xf numFmtId="9" fontId="0" fillId="0" borderId="37" xfId="7" applyFont="1" applyBorder="1" applyAlignment="1">
      <alignment vertical="center"/>
    </xf>
    <xf numFmtId="0" fontId="19" fillId="11" borderId="25" xfId="0" applyFont="1" applyFill="1" applyBorder="1" applyAlignment="1">
      <alignment horizontal="center" vertical="center" wrapText="1"/>
    </xf>
    <xf numFmtId="0" fontId="3" fillId="0" borderId="0" xfId="0" applyFont="1" applyAlignment="1">
      <alignment horizontal="center" wrapText="1"/>
    </xf>
    <xf numFmtId="168" fontId="12" fillId="5" borderId="3" xfId="0" applyNumberFormat="1" applyFont="1" applyFill="1" applyBorder="1" applyAlignment="1">
      <alignment horizontal="center" vertical="center" wrapText="1"/>
    </xf>
    <xf numFmtId="0" fontId="14" fillId="7" borderId="58" xfId="0" applyFont="1" applyFill="1" applyBorder="1" applyAlignment="1">
      <alignment horizontal="center" vertical="center" wrapText="1"/>
    </xf>
    <xf numFmtId="0" fontId="26" fillId="13" borderId="64" xfId="0" applyFont="1" applyFill="1" applyBorder="1" applyAlignment="1">
      <alignment horizontal="center" vertical="center" wrapText="1" readingOrder="2"/>
    </xf>
    <xf numFmtId="0" fontId="26" fillId="13" borderId="65" xfId="0" applyFont="1" applyFill="1" applyBorder="1" applyAlignment="1">
      <alignment horizontal="center" vertical="center" wrapText="1" readingOrder="2"/>
    </xf>
    <xf numFmtId="0" fontId="26" fillId="13" borderId="10" xfId="0" applyFont="1" applyFill="1" applyBorder="1" applyAlignment="1">
      <alignment horizontal="center" vertical="center" wrapText="1" readingOrder="2"/>
    </xf>
    <xf numFmtId="0" fontId="14" fillId="7" borderId="10" xfId="0" applyFont="1" applyFill="1" applyBorder="1" applyAlignment="1">
      <alignment horizontal="center" vertical="center" wrapText="1"/>
    </xf>
    <xf numFmtId="0" fontId="14" fillId="7" borderId="6" xfId="0" applyFont="1" applyFill="1" applyBorder="1" applyAlignment="1">
      <alignment horizontal="center" vertical="center" wrapText="1"/>
    </xf>
    <xf numFmtId="0" fontId="14" fillId="7" borderId="6" xfId="0" applyFont="1" applyFill="1" applyBorder="1" applyAlignment="1">
      <alignment horizontal="center" vertical="center"/>
    </xf>
    <xf numFmtId="0" fontId="14" fillId="7" borderId="11" xfId="0" applyFont="1" applyFill="1" applyBorder="1" applyAlignment="1">
      <alignment horizontal="center" vertical="center"/>
    </xf>
    <xf numFmtId="0" fontId="18" fillId="11" borderId="10" xfId="0" applyFont="1" applyFill="1" applyBorder="1" applyAlignment="1">
      <alignment horizontal="center" vertical="center"/>
    </xf>
    <xf numFmtId="0" fontId="14" fillId="7" borderId="5" xfId="0" applyFont="1" applyFill="1" applyBorder="1" applyAlignment="1">
      <alignment horizontal="center" vertical="center" wrapText="1"/>
    </xf>
    <xf numFmtId="0" fontId="14" fillId="7" borderId="7" xfId="0" applyFont="1" applyFill="1" applyBorder="1" applyAlignment="1">
      <alignment horizontal="center" vertical="center" wrapText="1"/>
    </xf>
    <xf numFmtId="0" fontId="14" fillId="7" borderId="8" xfId="0" applyFont="1" applyFill="1" applyBorder="1" applyAlignment="1">
      <alignment horizontal="center" vertical="center" wrapText="1"/>
    </xf>
    <xf numFmtId="0" fontId="14" fillId="7" borderId="9" xfId="0" applyFont="1" applyFill="1" applyBorder="1" applyAlignment="1">
      <alignment horizontal="center" vertical="center" wrapText="1"/>
    </xf>
    <xf numFmtId="0" fontId="14" fillId="7" borderId="11" xfId="0" applyFont="1" applyFill="1" applyBorder="1" applyAlignment="1">
      <alignment horizontal="center" vertical="center" wrapText="1"/>
    </xf>
    <xf numFmtId="0" fontId="14" fillId="7" borderId="8" xfId="0" applyFont="1" applyFill="1" applyBorder="1" applyAlignment="1">
      <alignment horizontal="center" vertical="center"/>
    </xf>
    <xf numFmtId="0" fontId="14" fillId="7" borderId="58" xfId="0" applyFont="1" applyFill="1" applyBorder="1" applyAlignment="1">
      <alignment horizontal="center" vertical="center"/>
    </xf>
    <xf numFmtId="0" fontId="14" fillId="7" borderId="10" xfId="0" applyFont="1" applyFill="1" applyBorder="1" applyAlignment="1">
      <alignment horizontal="center" vertical="center"/>
    </xf>
    <xf numFmtId="0" fontId="18" fillId="11" borderId="66" xfId="0" applyFont="1" applyFill="1" applyBorder="1" applyAlignment="1">
      <alignment horizontal="center" vertical="center"/>
    </xf>
    <xf numFmtId="0" fontId="0" fillId="0" borderId="25" xfId="0" applyBorder="1" applyAlignment="1">
      <alignment horizontal="center"/>
    </xf>
  </cellXfs>
  <cellStyles count="8">
    <cellStyle name="Date" xfId="1" xr:uid="{00000000-0005-0000-0000-000006000000}"/>
    <cellStyle name="Name" xfId="2" xr:uid="{00000000-0005-0000-0000-000007000000}"/>
    <cellStyle name="Normal" xfId="0" builtinId="0"/>
    <cellStyle name="Normal 3" xfId="3" xr:uid="{00000000-0005-0000-0000-000008000000}"/>
    <cellStyle name="Percent" xfId="7" builtinId="5"/>
    <cellStyle name="Project Start" xfId="4" xr:uid="{00000000-0005-0000-0000-000009000000}"/>
    <cellStyle name="Task" xfId="5" xr:uid="{00000000-0005-0000-0000-00000A000000}"/>
    <cellStyle name="zHiddenText" xfId="6" xr:uid="{00000000-0005-0000-0000-00000B000000}"/>
  </cellStyles>
  <dxfs count="51">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ont>
        <color rgb="FF9C0006"/>
      </font>
      <fill>
        <patternFill>
          <bgColor rgb="FFFFC7CE"/>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BFBFBF"/>
        </patternFill>
      </fill>
    </dxf>
    <dxf>
      <fill>
        <patternFill>
          <bgColor rgb="FF00B050"/>
        </patternFill>
      </fill>
    </dxf>
    <dxf>
      <border diagonalUp="0" diagonalDown="0">
        <left style="medium">
          <color rgb="FFBF8F00"/>
        </left>
        <right style="medium">
          <color rgb="FFBF8F00"/>
        </right>
        <top/>
        <bottom/>
      </border>
    </dxf>
    <dxf>
      <fill>
        <patternFill>
          <bgColor theme="5" tint="0.39979247413556324"/>
        </patternFill>
      </fill>
    </dxf>
    <dxf>
      <fill>
        <patternFill>
          <bgColor theme="6" tint="-0.249977111117893"/>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0B050"/>
      <rgbColor rgb="FFBFBFBF"/>
      <rgbColor rgb="FF7F7F7F"/>
      <rgbColor rgb="FFADADAD"/>
      <rgbColor rgb="FF993366"/>
      <rgbColor rgb="FFFFF2CC"/>
      <rgbColor rgb="FFF2F2F2"/>
      <rgbColor rgb="FF660066"/>
      <rgbColor rgb="FFFF4FD6"/>
      <rgbColor rgb="FF1363DF"/>
      <rgbColor rgb="FFD1D1D1"/>
      <rgbColor rgb="FF000080"/>
      <rgbColor rgb="FFFF00FF"/>
      <rgbColor rgb="FFFFFF00"/>
      <rgbColor rgb="FF00FFFF"/>
      <rgbColor rgb="FF800080"/>
      <rgbColor rgb="FF800000"/>
      <rgbColor rgb="FF008080"/>
      <rgbColor rgb="FF0000FF"/>
      <rgbColor rgb="FF00CCFF"/>
      <rgbColor rgb="FFD9E1F2"/>
      <rgbColor rgb="FFE8E8E8"/>
      <rgbColor rgb="FFFFFF99"/>
      <rgbColor rgb="FF99CCFF"/>
      <rgbColor rgb="FFFF99CC"/>
      <rgbColor rgb="FFAEAEAE"/>
      <rgbColor rgb="FFD9D9D9"/>
      <rgbColor rgb="FF2E75B6"/>
      <rgbColor rgb="FF33CCCC"/>
      <rgbColor rgb="FF92D050"/>
      <rgbColor rgb="FFFFCC00"/>
      <rgbColor rgb="FFBF8F00"/>
      <rgbColor rgb="FFFF6600"/>
      <rgbColor rgb="FF666699"/>
      <rgbColor rgb="FFA6A6A6"/>
      <rgbColor rgb="FF093270"/>
      <rgbColor rgb="FF48AE70"/>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Y44"/>
  <sheetViews>
    <sheetView showGridLines="0" rightToLeft="1" tabSelected="1" view="pageBreakPreview" topLeftCell="A14" zoomScale="55" zoomScaleNormal="40" zoomScalePageLayoutView="55" workbookViewId="0">
      <selection activeCell="H15" sqref="H15"/>
    </sheetView>
  </sheetViews>
  <sheetFormatPr defaultColWidth="8.69921875" defaultRowHeight="13.8" x14ac:dyDescent="0.25"/>
  <cols>
    <col min="1" max="1" width="29.796875" style="1" customWidth="1"/>
    <col min="2" max="2" width="40.296875" customWidth="1"/>
    <col min="3" max="3" width="8.09765625" customWidth="1"/>
    <col min="4" max="6" width="22.69921875" customWidth="1"/>
    <col min="7" max="7" width="22.69921875" hidden="1" customWidth="1"/>
    <col min="8" max="8" width="22.69921875" customWidth="1"/>
    <col min="9" max="9" width="22.69921875" hidden="1" customWidth="1"/>
    <col min="10" max="10" width="22.69921875" customWidth="1"/>
    <col min="11" max="11" width="30.796875" customWidth="1"/>
    <col min="12" max="12" width="19.09765625" style="2" customWidth="1"/>
    <col min="13" max="13" width="17" customWidth="1"/>
    <col min="14" max="14" width="1.59765625" customWidth="1"/>
    <col min="15" max="15" width="6" hidden="1" customWidth="1"/>
    <col min="16" max="16" width="8.5" customWidth="1"/>
    <col min="17" max="17" width="9.59765625" customWidth="1"/>
    <col min="18" max="72" width="8.5" customWidth="1"/>
  </cols>
  <sheetData>
    <row r="1" spans="1:129" ht="72" customHeight="1" x14ac:dyDescent="1.45">
      <c r="A1" s="137" t="s">
        <v>0</v>
      </c>
      <c r="B1" s="137"/>
      <c r="C1" s="137"/>
      <c r="D1" s="137"/>
      <c r="E1" s="137"/>
      <c r="F1" s="137"/>
      <c r="G1" s="137"/>
      <c r="H1" s="137"/>
      <c r="I1" s="137"/>
      <c r="J1" s="137"/>
      <c r="K1" s="137"/>
      <c r="L1" s="137"/>
      <c r="M1" s="3"/>
      <c r="O1" s="4"/>
      <c r="P1" s="5" t="s">
        <v>1</v>
      </c>
      <c r="Q1" s="6">
        <f ca="1">TODAY()</f>
        <v>46315</v>
      </c>
      <c r="Y1" s="7"/>
      <c r="Z1" s="8"/>
    </row>
    <row r="2" spans="1:129" ht="30" customHeight="1" x14ac:dyDescent="0.6">
      <c r="B2" s="9"/>
      <c r="C2" s="9"/>
      <c r="D2" s="9"/>
      <c r="E2" s="9"/>
      <c r="F2" s="9"/>
      <c r="G2" s="9"/>
      <c r="H2" s="9"/>
      <c r="I2" s="9"/>
      <c r="J2" s="9"/>
      <c r="P2" s="10" t="s">
        <v>2</v>
      </c>
      <c r="Q2" s="11" t="str">
        <f ca="1">IF(TODAY()&lt;$P$5,"-","أسبوع " &amp; ROUNDUP((TODAY()-$P$5+1)/7,0))</f>
        <v>أسبوع 10</v>
      </c>
      <c r="Y2" s="7"/>
      <c r="Z2" s="12"/>
    </row>
    <row r="3" spans="1:129" ht="30" customHeight="1" x14ac:dyDescent="0.25">
      <c r="B3" s="13"/>
      <c r="C3" s="13"/>
      <c r="D3" s="13"/>
      <c r="E3" s="13"/>
      <c r="F3" s="13"/>
      <c r="G3" s="13"/>
      <c r="H3" s="13"/>
      <c r="I3" s="13"/>
      <c r="J3" s="13"/>
      <c r="K3" s="14"/>
      <c r="P3" s="15" t="s">
        <v>3</v>
      </c>
      <c r="Q3" s="16" t="s">
        <v>4</v>
      </c>
      <c r="R3" s="17" t="s">
        <v>5</v>
      </c>
    </row>
    <row r="4" spans="1:129" ht="18" customHeight="1" x14ac:dyDescent="0.25">
      <c r="A4" s="18"/>
      <c r="B4" s="19"/>
      <c r="C4" s="19"/>
      <c r="D4" s="19"/>
      <c r="E4" s="19"/>
      <c r="F4" s="19"/>
      <c r="G4" s="19"/>
      <c r="H4" s="19"/>
      <c r="I4" s="19"/>
      <c r="J4" s="19"/>
      <c r="L4" s="20"/>
      <c r="P4" s="138" t="s">
        <v>6</v>
      </c>
      <c r="Q4" s="138"/>
      <c r="R4" s="138"/>
      <c r="S4" s="138"/>
      <c r="T4" s="138"/>
      <c r="U4" s="138"/>
      <c r="V4" s="138"/>
      <c r="W4" s="138"/>
      <c r="X4" s="138"/>
      <c r="Y4" s="138"/>
      <c r="Z4" s="138"/>
      <c r="AA4" s="138"/>
      <c r="AB4" s="138"/>
      <c r="AC4" s="138"/>
      <c r="AD4" s="138"/>
      <c r="AE4" s="138"/>
      <c r="AF4" s="138"/>
      <c r="AG4" s="138"/>
      <c r="AH4" s="138"/>
      <c r="AI4" s="138"/>
      <c r="AJ4" s="138"/>
      <c r="AK4" s="138"/>
      <c r="AM4" s="21"/>
      <c r="AT4" s="21"/>
      <c r="BA4" s="21"/>
      <c r="BH4" s="21"/>
      <c r="BO4" s="21"/>
      <c r="BV4" s="21"/>
      <c r="CC4" s="21"/>
      <c r="CJ4" s="21"/>
      <c r="CQ4" s="21"/>
      <c r="CX4" s="21"/>
      <c r="DE4" s="21"/>
      <c r="DL4" s="21"/>
      <c r="DS4" s="21"/>
    </row>
    <row r="5" spans="1:129" ht="39" customHeight="1" x14ac:dyDescent="0.25">
      <c r="A5" s="148" t="s">
        <v>7</v>
      </c>
      <c r="B5" s="144" t="s">
        <v>8</v>
      </c>
      <c r="C5" s="149" t="s">
        <v>9</v>
      </c>
      <c r="D5" s="150" t="s">
        <v>10</v>
      </c>
      <c r="E5" s="151" t="s">
        <v>11</v>
      </c>
      <c r="F5" s="144" t="s">
        <v>12</v>
      </c>
      <c r="G5" s="143" t="s">
        <v>13</v>
      </c>
      <c r="H5" s="143" t="s">
        <v>14</v>
      </c>
      <c r="I5" s="143" t="s">
        <v>15</v>
      </c>
      <c r="J5" s="152" t="s">
        <v>16</v>
      </c>
      <c r="K5" s="153" t="s">
        <v>17</v>
      </c>
      <c r="L5" s="145" t="s">
        <v>18</v>
      </c>
      <c r="M5" s="146" t="s">
        <v>19</v>
      </c>
      <c r="P5" s="22">
        <v>46250</v>
      </c>
      <c r="Q5" s="22">
        <f>P5+7</f>
        <v>46257</v>
      </c>
      <c r="R5" s="22">
        <f>Q5+7</f>
        <v>46264</v>
      </c>
      <c r="S5" s="22">
        <f>R5+7</f>
        <v>46271</v>
      </c>
      <c r="T5" s="22">
        <f>S5+7</f>
        <v>46278</v>
      </c>
      <c r="U5" s="22">
        <f>T5+7</f>
        <v>46285</v>
      </c>
      <c r="V5" s="22"/>
      <c r="W5" s="22"/>
      <c r="X5" s="22">
        <f>U5+7</f>
        <v>46292</v>
      </c>
      <c r="Y5" s="22">
        <f t="shared" ref="Y5:AK5" si="0">X5+7</f>
        <v>46299</v>
      </c>
      <c r="Z5" s="22">
        <f t="shared" si="0"/>
        <v>46306</v>
      </c>
      <c r="AA5" s="22">
        <f t="shared" si="0"/>
        <v>46313</v>
      </c>
      <c r="AB5" s="22">
        <f t="shared" si="0"/>
        <v>46320</v>
      </c>
      <c r="AC5" s="22">
        <f t="shared" si="0"/>
        <v>46327</v>
      </c>
      <c r="AD5" s="22">
        <f t="shared" si="0"/>
        <v>46334</v>
      </c>
      <c r="AE5" s="22">
        <f t="shared" si="0"/>
        <v>46341</v>
      </c>
      <c r="AF5" s="22">
        <f t="shared" si="0"/>
        <v>46348</v>
      </c>
      <c r="AG5" s="22">
        <f t="shared" si="0"/>
        <v>46355</v>
      </c>
      <c r="AH5" s="22">
        <f t="shared" si="0"/>
        <v>46362</v>
      </c>
      <c r="AI5" s="22">
        <f t="shared" si="0"/>
        <v>46369</v>
      </c>
      <c r="AJ5" s="22">
        <f t="shared" si="0"/>
        <v>46376</v>
      </c>
      <c r="AK5" s="22">
        <f t="shared" si="0"/>
        <v>46383</v>
      </c>
      <c r="AL5" s="23"/>
      <c r="AM5" s="24"/>
      <c r="AN5" s="25"/>
      <c r="AO5" s="25"/>
      <c r="AP5" s="25"/>
      <c r="AQ5" s="25"/>
      <c r="AR5" s="25"/>
      <c r="AS5" s="23"/>
      <c r="AT5" s="24"/>
      <c r="AU5" s="25"/>
      <c r="AV5" s="25"/>
      <c r="AW5" s="25"/>
      <c r="AX5" s="25"/>
      <c r="AY5" s="25"/>
      <c r="AZ5" s="23"/>
      <c r="BA5" s="24"/>
      <c r="BB5" s="25"/>
      <c r="BC5" s="25"/>
      <c r="BD5" s="25"/>
      <c r="BE5" s="25"/>
      <c r="BF5" s="25"/>
      <c r="BG5" s="23"/>
      <c r="BH5" s="24"/>
      <c r="BI5" s="25"/>
      <c r="BJ5" s="25"/>
      <c r="BK5" s="25"/>
      <c r="BL5" s="25"/>
      <c r="BM5" s="25"/>
      <c r="BN5" s="23"/>
      <c r="BO5" s="24"/>
      <c r="BP5" s="25"/>
      <c r="BQ5" s="25"/>
      <c r="BR5" s="25"/>
      <c r="BS5" s="25"/>
      <c r="BT5" s="25"/>
      <c r="BU5" s="25"/>
      <c r="BV5" s="24"/>
      <c r="BW5" s="25"/>
      <c r="BX5" s="25"/>
      <c r="BY5" s="25"/>
      <c r="BZ5" s="25"/>
      <c r="CA5" s="25"/>
      <c r="CB5" s="23"/>
      <c r="CC5" s="24"/>
      <c r="CD5" s="24"/>
      <c r="CE5" s="25"/>
      <c r="CF5" s="25"/>
      <c r="CG5" s="25"/>
      <c r="CH5" s="25"/>
      <c r="CI5" s="25"/>
      <c r="CJ5" s="23"/>
      <c r="CK5" s="24"/>
      <c r="CL5" s="25"/>
      <c r="CM5" s="25"/>
      <c r="CN5" s="25"/>
      <c r="CO5" s="25"/>
      <c r="CP5" s="25"/>
      <c r="CQ5" s="23"/>
      <c r="CR5" s="24"/>
      <c r="CS5" s="24"/>
      <c r="CT5" s="25"/>
      <c r="CU5" s="25"/>
      <c r="CV5" s="25"/>
      <c r="CW5" s="25"/>
      <c r="CX5" s="25"/>
      <c r="CY5" s="23"/>
      <c r="CZ5" s="24"/>
      <c r="DA5" s="24"/>
      <c r="DB5" s="25"/>
      <c r="DC5" s="25"/>
      <c r="DD5" s="25"/>
      <c r="DE5" s="25"/>
      <c r="DF5" s="25"/>
      <c r="DG5" s="23"/>
      <c r="DH5" s="24"/>
      <c r="DI5" s="24"/>
      <c r="DJ5" s="25"/>
      <c r="DK5" s="25"/>
      <c r="DL5" s="25"/>
      <c r="DM5" s="25"/>
      <c r="DN5" s="25"/>
      <c r="DO5" s="23"/>
      <c r="DP5" s="24"/>
      <c r="DQ5" s="24"/>
      <c r="DR5" s="25"/>
      <c r="DS5" s="25"/>
      <c r="DT5" s="25"/>
      <c r="DU5" s="25"/>
      <c r="DV5" s="25"/>
      <c r="DW5" s="25"/>
      <c r="DX5" s="23"/>
      <c r="DY5" s="25"/>
    </row>
    <row r="6" spans="1:129" ht="39" customHeight="1" x14ac:dyDescent="0.25">
      <c r="A6" s="148"/>
      <c r="B6" s="144"/>
      <c r="C6" s="149"/>
      <c r="D6" s="150"/>
      <c r="E6" s="151"/>
      <c r="F6" s="144"/>
      <c r="G6" s="143"/>
      <c r="H6" s="143"/>
      <c r="I6" s="143"/>
      <c r="J6" s="152"/>
      <c r="K6" s="153"/>
      <c r="L6" s="145"/>
      <c r="M6" s="146"/>
      <c r="P6" s="26" t="s">
        <v>20</v>
      </c>
      <c r="Q6" s="26" t="s">
        <v>21</v>
      </c>
      <c r="R6" s="26" t="s">
        <v>22</v>
      </c>
      <c r="S6" s="26" t="s">
        <v>23</v>
      </c>
      <c r="T6" s="26" t="s">
        <v>24</v>
      </c>
      <c r="U6" s="26" t="s">
        <v>25</v>
      </c>
      <c r="V6" s="26" t="s">
        <v>26</v>
      </c>
      <c r="W6" s="26" t="s">
        <v>14</v>
      </c>
      <c r="X6" s="26" t="s">
        <v>27</v>
      </c>
      <c r="Y6" s="26" t="s">
        <v>28</v>
      </c>
      <c r="Z6" s="26" t="s">
        <v>29</v>
      </c>
      <c r="AA6" s="26" t="s">
        <v>30</v>
      </c>
      <c r="AB6" s="26" t="s">
        <v>31</v>
      </c>
      <c r="AC6" s="26" t="s">
        <v>32</v>
      </c>
      <c r="AD6" s="26" t="s">
        <v>33</v>
      </c>
      <c r="AE6" s="26" t="s">
        <v>34</v>
      </c>
      <c r="AF6" s="26" t="s">
        <v>35</v>
      </c>
      <c r="AG6" s="26" t="s">
        <v>36</v>
      </c>
      <c r="AH6" s="26" t="s">
        <v>37</v>
      </c>
      <c r="AI6" s="26" t="s">
        <v>38</v>
      </c>
      <c r="AJ6" s="26" t="s">
        <v>39</v>
      </c>
      <c r="AK6" s="26" t="s">
        <v>40</v>
      </c>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8"/>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row>
    <row r="7" spans="1:129" ht="9.75" customHeight="1" thickBot="1" x14ac:dyDescent="0.3">
      <c r="A7" s="1" t="s">
        <v>41</v>
      </c>
      <c r="B7" s="29"/>
      <c r="C7" s="29"/>
      <c r="D7" s="29"/>
      <c r="E7" s="29"/>
      <c r="F7" s="29"/>
      <c r="G7" s="29"/>
      <c r="H7" s="29"/>
      <c r="I7" s="29"/>
      <c r="J7" s="29"/>
      <c r="K7" s="29"/>
      <c r="L7" s="29"/>
      <c r="M7" s="29"/>
      <c r="O7" t="str">
        <f t="shared" ref="O7:O32" si="1">IF(OR(ISBLANK(task_start),ISBLANK(task_end)),"",task_end-task_start+1)</f>
        <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129" s="43" customFormat="1" ht="39" customHeight="1" thickBot="1" x14ac:dyDescent="0.3">
      <c r="A8" s="147" t="s">
        <v>42</v>
      </c>
      <c r="B8" s="31" t="s">
        <v>43</v>
      </c>
      <c r="C8" s="32" t="s">
        <v>44</v>
      </c>
      <c r="D8" s="33">
        <v>92400</v>
      </c>
      <c r="E8" s="34">
        <v>92400</v>
      </c>
      <c r="F8" s="35">
        <v>92400</v>
      </c>
      <c r="G8" s="35"/>
      <c r="H8" s="35">
        <f>F8-E8</f>
        <v>0</v>
      </c>
      <c r="I8" s="35"/>
      <c r="J8" s="36">
        <f>T8+U8+X8+Y8</f>
        <v>0</v>
      </c>
      <c r="K8" s="37">
        <f t="shared" ref="K8:K44" si="2">F8/D8</f>
        <v>1</v>
      </c>
      <c r="L8" s="38">
        <v>46288</v>
      </c>
      <c r="M8" s="39">
        <v>46288</v>
      </c>
      <c r="N8" s="40"/>
      <c r="O8" s="41">
        <f t="shared" si="1"/>
        <v>1</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129" s="43" customFormat="1" ht="39" customHeight="1" thickBot="1" x14ac:dyDescent="0.3">
      <c r="A9" s="147"/>
      <c r="B9" s="44" t="s">
        <v>45</v>
      </c>
      <c r="C9" s="45" t="s">
        <v>44</v>
      </c>
      <c r="D9" s="46">
        <v>45600</v>
      </c>
      <c r="E9" s="47">
        <v>45600</v>
      </c>
      <c r="F9" s="48">
        <f>0.97*D9</f>
        <v>44232</v>
      </c>
      <c r="G9" s="48">
        <f>J9/2</f>
        <v>684</v>
      </c>
      <c r="H9" s="48">
        <f t="shared" ref="H9:H44" si="3">F9-E9</f>
        <v>-1368</v>
      </c>
      <c r="I9" s="48"/>
      <c r="J9" s="49">
        <f t="shared" ref="J9:J44" si="4">D9-F9</f>
        <v>1368</v>
      </c>
      <c r="K9" s="50">
        <f t="shared" si="2"/>
        <v>0.97</v>
      </c>
      <c r="L9" s="51">
        <v>46278</v>
      </c>
      <c r="M9" s="52">
        <v>46287</v>
      </c>
      <c r="N9" s="40"/>
      <c r="O9" s="41">
        <f t="shared" si="1"/>
        <v>10</v>
      </c>
      <c r="P9" s="53"/>
      <c r="Q9" s="53"/>
      <c r="R9" s="53"/>
      <c r="S9" s="53"/>
      <c r="T9" s="53">
        <v>6840</v>
      </c>
      <c r="U9" s="53">
        <v>6840</v>
      </c>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row>
    <row r="10" spans="1:129" s="43" customFormat="1" ht="39" customHeight="1" thickBot="1" x14ac:dyDescent="0.3">
      <c r="A10" s="147" t="s">
        <v>46</v>
      </c>
      <c r="B10" s="54" t="s">
        <v>47</v>
      </c>
      <c r="C10" s="55" t="s">
        <v>48</v>
      </c>
      <c r="D10" s="56">
        <v>1440</v>
      </c>
      <c r="E10" s="57">
        <f t="shared" ref="E10:E44" ca="1" si="5">SUMPRODUCT(ISNUMBER($P$5:$AK$5)*($P$5:$AK$5&lt;=TODAY())*(P10:AK10))</f>
        <v>1440</v>
      </c>
      <c r="F10" s="58">
        <v>150</v>
      </c>
      <c r="G10" s="58">
        <f>J10/3</f>
        <v>430</v>
      </c>
      <c r="H10" s="58">
        <f t="shared" ca="1" si="3"/>
        <v>-1290</v>
      </c>
      <c r="I10" s="58"/>
      <c r="J10" s="59">
        <f t="shared" si="4"/>
        <v>1290</v>
      </c>
      <c r="K10" s="60">
        <f t="shared" si="2"/>
        <v>0.10416666666666667</v>
      </c>
      <c r="L10" s="61">
        <v>46282</v>
      </c>
      <c r="M10" s="62">
        <v>46298.7125115741</v>
      </c>
      <c r="N10" s="40"/>
      <c r="O10" s="41">
        <f t="shared" si="1"/>
        <v>17.712511574100063</v>
      </c>
      <c r="P10" s="53"/>
      <c r="Q10" s="53"/>
      <c r="R10" s="53"/>
      <c r="S10" s="53"/>
      <c r="T10" s="53">
        <v>480</v>
      </c>
      <c r="U10" s="53">
        <v>480</v>
      </c>
      <c r="V10" s="53"/>
      <c r="W10" s="53"/>
      <c r="X10" s="53">
        <v>480</v>
      </c>
      <c r="Y10" s="53"/>
      <c r="Z10" s="53"/>
      <c r="AA10" s="53"/>
      <c r="AB10" s="53"/>
      <c r="AC10" s="53"/>
      <c r="AD10" s="63"/>
      <c r="AE10" s="6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row>
    <row r="11" spans="1:129" s="43" customFormat="1" ht="39" customHeight="1" thickBot="1" x14ac:dyDescent="0.3">
      <c r="A11" s="147"/>
      <c r="B11" s="64" t="s">
        <v>49</v>
      </c>
      <c r="C11" s="65" t="s">
        <v>48</v>
      </c>
      <c r="D11" s="66">
        <v>2227</v>
      </c>
      <c r="E11" s="67">
        <f t="shared" ca="1" si="5"/>
        <v>2227.6666666666661</v>
      </c>
      <c r="F11" s="68">
        <v>0</v>
      </c>
      <c r="G11" s="68"/>
      <c r="H11" s="68">
        <f t="shared" ca="1" si="3"/>
        <v>-2227.6666666666661</v>
      </c>
      <c r="I11" s="68"/>
      <c r="J11" s="69">
        <f t="shared" si="4"/>
        <v>2227</v>
      </c>
      <c r="K11" s="37">
        <f t="shared" si="2"/>
        <v>0</v>
      </c>
      <c r="L11" s="38">
        <v>46298</v>
      </c>
      <c r="M11" s="70">
        <v>46308.612511574102</v>
      </c>
      <c r="N11" s="40"/>
      <c r="O11" s="41">
        <f t="shared" si="1"/>
        <v>11.612511574101518</v>
      </c>
      <c r="P11" s="53"/>
      <c r="Q11" s="53"/>
      <c r="R11" s="53"/>
      <c r="S11" s="53"/>
      <c r="T11" s="53"/>
      <c r="U11" s="53"/>
      <c r="V11" s="53"/>
      <c r="W11" s="53"/>
      <c r="X11" s="71">
        <v>742.33333333333303</v>
      </c>
      <c r="Y11" s="71">
        <v>742.33333333333303</v>
      </c>
      <c r="Z11" s="53">
        <v>743</v>
      </c>
      <c r="AA11" s="53"/>
      <c r="AB11" s="53"/>
      <c r="AC11" s="53"/>
      <c r="AD11" s="53"/>
      <c r="AE11" s="53"/>
      <c r="AF11" s="53"/>
      <c r="AG11" s="53"/>
      <c r="AH11" s="53"/>
      <c r="AI11" s="53"/>
      <c r="AJ11" s="53"/>
      <c r="AK11" s="53"/>
      <c r="AL11" s="53"/>
      <c r="AM11" s="53"/>
      <c r="AN11" s="53"/>
      <c r="AO11" s="53"/>
      <c r="AP11" s="53"/>
      <c r="AQ11" s="53"/>
      <c r="AR11" s="135">
        <f>1300/1500</f>
        <v>0.8666666666666667</v>
      </c>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row>
    <row r="12" spans="1:129" s="43" customFormat="1" ht="39" customHeight="1" thickBot="1" x14ac:dyDescent="0.3">
      <c r="A12" s="147"/>
      <c r="B12" s="64" t="s">
        <v>50</v>
      </c>
      <c r="C12" s="65" t="s">
        <v>51</v>
      </c>
      <c r="D12" s="66">
        <v>25</v>
      </c>
      <c r="E12" s="67">
        <f t="shared" ca="1" si="5"/>
        <v>25</v>
      </c>
      <c r="F12" s="68">
        <v>0</v>
      </c>
      <c r="G12" s="68"/>
      <c r="H12" s="68">
        <f t="shared" ca="1" si="3"/>
        <v>-25</v>
      </c>
      <c r="I12" s="68"/>
      <c r="J12" s="69">
        <f t="shared" si="4"/>
        <v>25</v>
      </c>
      <c r="K12" s="37">
        <f t="shared" si="2"/>
        <v>0</v>
      </c>
      <c r="L12" s="38">
        <v>46309.7125115741</v>
      </c>
      <c r="M12" s="70">
        <v>46319</v>
      </c>
      <c r="N12" s="40"/>
      <c r="O12" s="41">
        <f t="shared" si="1"/>
        <v>10.287488425899937</v>
      </c>
      <c r="P12" s="53"/>
      <c r="Q12" s="53"/>
      <c r="R12" s="53"/>
      <c r="S12" s="53"/>
      <c r="T12" s="53"/>
      <c r="U12" s="53"/>
      <c r="V12" s="53"/>
      <c r="W12" s="53"/>
      <c r="X12" s="53"/>
      <c r="Y12" s="53"/>
      <c r="Z12" s="53">
        <v>13</v>
      </c>
      <c r="AA12" s="53">
        <v>12</v>
      </c>
      <c r="AB12" s="53"/>
      <c r="AC12" s="53"/>
      <c r="AD12" s="53"/>
      <c r="AE12" s="53"/>
      <c r="AF12" s="53"/>
      <c r="AG12" s="53"/>
      <c r="AH12" s="6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row>
    <row r="13" spans="1:129" s="43" customFormat="1" ht="39" customHeight="1" thickBot="1" x14ac:dyDescent="0.3">
      <c r="A13" s="147"/>
      <c r="B13" s="64" t="s">
        <v>52</v>
      </c>
      <c r="C13" s="65" t="s">
        <v>51</v>
      </c>
      <c r="D13" s="66">
        <v>25</v>
      </c>
      <c r="E13" s="67">
        <f t="shared" ca="1" si="5"/>
        <v>0</v>
      </c>
      <c r="F13" s="68">
        <v>0</v>
      </c>
      <c r="G13" s="68"/>
      <c r="H13" s="68">
        <f t="shared" ca="1" si="3"/>
        <v>0</v>
      </c>
      <c r="I13" s="68"/>
      <c r="J13" s="69">
        <f t="shared" si="4"/>
        <v>25</v>
      </c>
      <c r="K13" s="37">
        <f t="shared" si="2"/>
        <v>0</v>
      </c>
      <c r="L13" s="38">
        <v>46373</v>
      </c>
      <c r="M13" s="70">
        <f>L13+5</f>
        <v>46378</v>
      </c>
      <c r="N13" s="40"/>
      <c r="O13" s="41">
        <f t="shared" si="1"/>
        <v>6</v>
      </c>
      <c r="P13" s="53"/>
      <c r="Q13" s="53"/>
      <c r="R13" s="53"/>
      <c r="S13" s="53"/>
      <c r="T13" s="53"/>
      <c r="U13" s="53"/>
      <c r="V13" s="53"/>
      <c r="W13" s="53"/>
      <c r="X13" s="53"/>
      <c r="Y13" s="53"/>
      <c r="Z13" s="53"/>
      <c r="AA13" s="53"/>
      <c r="AB13" s="53"/>
      <c r="AC13" s="53"/>
      <c r="AD13" s="53"/>
      <c r="AE13" s="53"/>
      <c r="AF13" s="53"/>
      <c r="AG13" s="53"/>
      <c r="AH13" s="53"/>
      <c r="AI13" s="53">
        <v>13</v>
      </c>
      <c r="AJ13" s="53">
        <v>12</v>
      </c>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row>
    <row r="14" spans="1:129" s="43" customFormat="1" ht="39" customHeight="1" thickBot="1" x14ac:dyDescent="0.3">
      <c r="A14" s="147"/>
      <c r="B14" s="64" t="s">
        <v>53</v>
      </c>
      <c r="C14" s="65" t="s">
        <v>51</v>
      </c>
      <c r="D14" s="66">
        <v>25</v>
      </c>
      <c r="E14" s="67">
        <f t="shared" ca="1" si="5"/>
        <v>0</v>
      </c>
      <c r="F14" s="68">
        <v>0</v>
      </c>
      <c r="G14" s="68"/>
      <c r="H14" s="68">
        <f t="shared" ca="1" si="3"/>
        <v>0</v>
      </c>
      <c r="I14" s="68"/>
      <c r="J14" s="69">
        <f t="shared" si="4"/>
        <v>25</v>
      </c>
      <c r="K14" s="37">
        <f t="shared" si="2"/>
        <v>0</v>
      </c>
      <c r="L14" s="38">
        <v>46374</v>
      </c>
      <c r="M14" s="70">
        <f>L14+5</f>
        <v>46379</v>
      </c>
      <c r="N14" s="40"/>
      <c r="O14" s="41">
        <f t="shared" si="1"/>
        <v>6</v>
      </c>
      <c r="AI14" s="53">
        <v>13</v>
      </c>
      <c r="AJ14" s="43">
        <v>12</v>
      </c>
    </row>
    <row r="15" spans="1:129" s="43" customFormat="1" ht="39" customHeight="1" thickBot="1" x14ac:dyDescent="0.3">
      <c r="A15" s="147"/>
      <c r="B15" s="64" t="s">
        <v>54</v>
      </c>
      <c r="C15" s="65" t="s">
        <v>51</v>
      </c>
      <c r="D15" s="66">
        <v>25</v>
      </c>
      <c r="E15" s="67">
        <f t="shared" ca="1" si="5"/>
        <v>0</v>
      </c>
      <c r="F15" s="68">
        <v>0</v>
      </c>
      <c r="G15" s="68"/>
      <c r="H15" s="68">
        <f t="shared" ca="1" si="3"/>
        <v>0</v>
      </c>
      <c r="I15" s="68"/>
      <c r="J15" s="69">
        <f t="shared" si="4"/>
        <v>25</v>
      </c>
      <c r="K15" s="37">
        <f t="shared" si="2"/>
        <v>0</v>
      </c>
      <c r="L15" s="38">
        <v>46375</v>
      </c>
      <c r="M15" s="70">
        <f>L15+5</f>
        <v>46380</v>
      </c>
      <c r="N15" s="40"/>
      <c r="O15" s="41">
        <f t="shared" si="1"/>
        <v>6</v>
      </c>
      <c r="P15" s="53"/>
      <c r="Q15" s="53"/>
      <c r="R15" s="53"/>
      <c r="S15" s="53"/>
      <c r="T15" s="53"/>
      <c r="U15" s="53"/>
      <c r="V15" s="53"/>
      <c r="W15" s="53"/>
      <c r="X15" s="53"/>
      <c r="Y15" s="53"/>
      <c r="Z15" s="53"/>
      <c r="AA15" s="53"/>
      <c r="AB15" s="53"/>
      <c r="AC15" s="53"/>
      <c r="AD15" s="53"/>
      <c r="AE15" s="53"/>
      <c r="AF15" s="53"/>
      <c r="AG15" s="53"/>
      <c r="AH15" s="53"/>
      <c r="AI15" s="53">
        <v>13</v>
      </c>
      <c r="AJ15" s="53">
        <v>12</v>
      </c>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row>
    <row r="16" spans="1:129" s="43" customFormat="1" ht="39" customHeight="1" thickBot="1" x14ac:dyDescent="0.3">
      <c r="A16" s="147"/>
      <c r="B16" s="64" t="s">
        <v>55</v>
      </c>
      <c r="C16" s="65" t="s">
        <v>51</v>
      </c>
      <c r="D16" s="66">
        <v>159</v>
      </c>
      <c r="E16" s="67">
        <f t="shared" ca="1" si="5"/>
        <v>94</v>
      </c>
      <c r="F16" s="68">
        <v>0</v>
      </c>
      <c r="G16" s="68"/>
      <c r="H16" s="68">
        <f t="shared" ca="1" si="3"/>
        <v>-94</v>
      </c>
      <c r="I16" s="68"/>
      <c r="J16" s="69">
        <f t="shared" si="4"/>
        <v>159</v>
      </c>
      <c r="K16" s="37">
        <f t="shared" si="2"/>
        <v>0</v>
      </c>
      <c r="L16" s="38">
        <v>46298.2125115741</v>
      </c>
      <c r="M16" s="70">
        <v>46329.629178240699</v>
      </c>
      <c r="N16" s="40"/>
      <c r="O16" s="41">
        <f t="shared" si="1"/>
        <v>32.416666666598758</v>
      </c>
      <c r="P16" s="53"/>
      <c r="Q16" s="53"/>
      <c r="R16" s="53"/>
      <c r="S16" s="53"/>
      <c r="T16" s="53"/>
      <c r="U16" s="53"/>
      <c r="V16" s="53"/>
      <c r="W16" s="53"/>
      <c r="X16" s="53"/>
      <c r="Y16" s="53">
        <v>32</v>
      </c>
      <c r="Z16" s="53">
        <v>31</v>
      </c>
      <c r="AA16" s="53">
        <v>31</v>
      </c>
      <c r="AB16" s="53">
        <v>31</v>
      </c>
      <c r="AC16" s="53">
        <v>31</v>
      </c>
      <c r="AD16" s="63"/>
      <c r="AE16" s="6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row>
    <row r="17" spans="1:73" s="43" customFormat="1" ht="39" customHeight="1" thickBot="1" x14ac:dyDescent="0.3">
      <c r="A17" s="147"/>
      <c r="B17" s="64" t="s">
        <v>56</v>
      </c>
      <c r="C17" s="65" t="s">
        <v>51</v>
      </c>
      <c r="D17" s="46">
        <v>159</v>
      </c>
      <c r="E17" s="72">
        <f t="shared" ca="1" si="5"/>
        <v>0</v>
      </c>
      <c r="F17" s="68">
        <v>0</v>
      </c>
      <c r="G17" s="68"/>
      <c r="H17" s="68">
        <f t="shared" ca="1" si="3"/>
        <v>0</v>
      </c>
      <c r="I17" s="68"/>
      <c r="J17" s="69">
        <f t="shared" si="4"/>
        <v>159</v>
      </c>
      <c r="K17" s="73">
        <f t="shared" si="2"/>
        <v>0</v>
      </c>
      <c r="L17" s="38">
        <v>46373</v>
      </c>
      <c r="M17" s="74">
        <f>L17+14</f>
        <v>46387</v>
      </c>
      <c r="N17" s="40"/>
      <c r="O17" s="41">
        <f t="shared" si="1"/>
        <v>15</v>
      </c>
      <c r="P17" s="53"/>
      <c r="Q17" s="53"/>
      <c r="R17" s="53"/>
      <c r="S17" s="53"/>
      <c r="T17" s="53"/>
      <c r="U17" s="53"/>
      <c r="V17" s="53"/>
      <c r="W17" s="53"/>
      <c r="X17" s="53"/>
      <c r="Y17" s="53"/>
      <c r="Z17" s="53"/>
      <c r="AA17" s="53"/>
      <c r="AB17" s="53"/>
      <c r="AC17" s="53"/>
      <c r="AD17" s="53"/>
      <c r="AE17" s="53"/>
      <c r="AF17" s="53"/>
      <c r="AG17" s="53"/>
      <c r="AH17" s="53"/>
      <c r="AI17" s="53">
        <v>53</v>
      </c>
      <c r="AJ17" s="53">
        <v>53</v>
      </c>
      <c r="AK17" s="53">
        <v>53</v>
      </c>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row>
    <row r="18" spans="1:73" s="43" customFormat="1" ht="39" customHeight="1" thickBot="1" x14ac:dyDescent="0.3">
      <c r="A18" s="147" t="s">
        <v>57</v>
      </c>
      <c r="B18" s="75" t="s">
        <v>47</v>
      </c>
      <c r="C18" s="76" t="s">
        <v>48</v>
      </c>
      <c r="D18" s="33">
        <v>1469</v>
      </c>
      <c r="E18" s="34">
        <f t="shared" ca="1" si="5"/>
        <v>979.33333333333405</v>
      </c>
      <c r="F18" s="77">
        <v>0</v>
      </c>
      <c r="G18" s="77"/>
      <c r="H18" s="77">
        <f t="shared" ca="1" si="3"/>
        <v>-979.33333333333405</v>
      </c>
      <c r="I18" s="77"/>
      <c r="J18" s="78">
        <f t="shared" si="4"/>
        <v>1469</v>
      </c>
      <c r="K18" s="60">
        <f t="shared" si="2"/>
        <v>0</v>
      </c>
      <c r="L18" s="61">
        <v>46309.2125115741</v>
      </c>
      <c r="M18" s="62">
        <v>46320.375011574099</v>
      </c>
      <c r="N18" s="40"/>
      <c r="O18" s="41">
        <f t="shared" si="1"/>
        <v>12.162499999998545</v>
      </c>
      <c r="Q18" s="53"/>
      <c r="R18" s="53"/>
      <c r="S18" s="53"/>
      <c r="T18" s="53"/>
      <c r="U18" s="53"/>
      <c r="V18" s="53"/>
      <c r="W18" s="53"/>
      <c r="X18" s="53"/>
      <c r="Y18" s="53"/>
      <c r="Z18" s="71">
        <v>489.66666666666703</v>
      </c>
      <c r="AA18" s="71">
        <v>489.66666666666703</v>
      </c>
      <c r="AB18" s="71">
        <v>489.66666666666703</v>
      </c>
      <c r="AC18" s="53"/>
      <c r="AD18" s="53"/>
      <c r="AE18" s="53"/>
      <c r="AF18" s="53"/>
      <c r="AG18" s="53"/>
      <c r="AH18" s="6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row>
    <row r="19" spans="1:73" s="43" customFormat="1" ht="39" customHeight="1" thickBot="1" x14ac:dyDescent="0.3">
      <c r="A19" s="147"/>
      <c r="B19" s="64" t="s">
        <v>58</v>
      </c>
      <c r="C19" s="65" t="s">
        <v>48</v>
      </c>
      <c r="D19" s="66">
        <v>1469</v>
      </c>
      <c r="E19" s="67">
        <f t="shared" ca="1" si="5"/>
        <v>0</v>
      </c>
      <c r="F19" s="68">
        <v>0</v>
      </c>
      <c r="G19" s="68"/>
      <c r="H19" s="68">
        <f t="shared" ca="1" si="3"/>
        <v>0</v>
      </c>
      <c r="I19" s="68"/>
      <c r="J19" s="69">
        <f t="shared" si="4"/>
        <v>1469</v>
      </c>
      <c r="K19" s="37">
        <f t="shared" si="2"/>
        <v>0</v>
      </c>
      <c r="L19" s="38">
        <v>46327.375011574099</v>
      </c>
      <c r="M19" s="70">
        <v>46341.840011574102</v>
      </c>
      <c r="N19" s="40"/>
      <c r="O19" s="41">
        <f t="shared" si="1"/>
        <v>15.465000000003783</v>
      </c>
      <c r="P19" s="53"/>
      <c r="Q19" s="53"/>
      <c r="R19" s="53"/>
      <c r="S19" s="53"/>
      <c r="T19" s="53"/>
      <c r="U19" s="53"/>
      <c r="V19" s="53"/>
      <c r="W19" s="53"/>
      <c r="X19" s="53"/>
      <c r="Y19" s="53"/>
      <c r="Z19" s="53"/>
      <c r="AA19" s="53"/>
      <c r="AB19" s="53"/>
      <c r="AC19" s="53">
        <v>490</v>
      </c>
      <c r="AD19" s="53">
        <v>490</v>
      </c>
      <c r="AE19" s="53">
        <v>490</v>
      </c>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row>
    <row r="20" spans="1:73" s="43" customFormat="1" ht="39" customHeight="1" thickBot="1" x14ac:dyDescent="0.3">
      <c r="A20" s="147"/>
      <c r="B20" s="64" t="s">
        <v>50</v>
      </c>
      <c r="C20" s="65" t="s">
        <v>51</v>
      </c>
      <c r="D20" s="66">
        <v>37</v>
      </c>
      <c r="E20" s="67">
        <f t="shared" ca="1" si="5"/>
        <v>37</v>
      </c>
      <c r="F20" s="68">
        <v>0</v>
      </c>
      <c r="G20" s="68"/>
      <c r="H20" s="68">
        <f t="shared" ca="1" si="3"/>
        <v>-37</v>
      </c>
      <c r="I20" s="68"/>
      <c r="J20" s="69">
        <f t="shared" si="4"/>
        <v>37</v>
      </c>
      <c r="K20" s="37">
        <f t="shared" si="2"/>
        <v>0</v>
      </c>
      <c r="L20" s="38">
        <v>46312</v>
      </c>
      <c r="M20" s="70">
        <f>L20+7</f>
        <v>46319</v>
      </c>
      <c r="N20" s="40"/>
      <c r="O20" s="41">
        <f t="shared" si="1"/>
        <v>8</v>
      </c>
      <c r="P20" s="79"/>
      <c r="Q20" s="79"/>
      <c r="R20" s="79"/>
      <c r="S20" s="79"/>
      <c r="T20" s="79"/>
      <c r="U20" s="79"/>
      <c r="V20" s="79"/>
      <c r="W20" s="79"/>
      <c r="X20" s="79"/>
      <c r="Y20" s="79"/>
      <c r="Z20" s="79">
        <v>20</v>
      </c>
      <c r="AA20" s="79">
        <v>17</v>
      </c>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row>
    <row r="21" spans="1:73" s="43" customFormat="1" ht="39" customHeight="1" thickBot="1" x14ac:dyDescent="0.3">
      <c r="A21" s="147"/>
      <c r="B21" s="64" t="s">
        <v>59</v>
      </c>
      <c r="C21" s="65" t="s">
        <v>51</v>
      </c>
      <c r="D21" s="66">
        <v>37</v>
      </c>
      <c r="E21" s="67">
        <f t="shared" ca="1" si="5"/>
        <v>0</v>
      </c>
      <c r="F21" s="68">
        <v>0</v>
      </c>
      <c r="G21" s="68"/>
      <c r="H21" s="68">
        <f t="shared" ca="1" si="3"/>
        <v>0</v>
      </c>
      <c r="I21" s="68"/>
      <c r="J21" s="69">
        <f t="shared" si="4"/>
        <v>37</v>
      </c>
      <c r="K21" s="37">
        <f t="shared" si="2"/>
        <v>0</v>
      </c>
      <c r="L21" s="38">
        <v>46374</v>
      </c>
      <c r="M21" s="70">
        <f>L21+2</f>
        <v>46376</v>
      </c>
      <c r="N21" s="40"/>
      <c r="O21" s="41">
        <f t="shared" si="1"/>
        <v>3</v>
      </c>
      <c r="P21" s="53"/>
      <c r="Q21" s="53"/>
      <c r="R21" s="53"/>
      <c r="S21" s="53"/>
      <c r="T21" s="53"/>
      <c r="U21" s="53"/>
      <c r="V21" s="53"/>
      <c r="W21" s="53"/>
      <c r="X21" s="53"/>
      <c r="Y21" s="53"/>
      <c r="Z21" s="53"/>
      <c r="AA21" s="53"/>
      <c r="AB21" s="53"/>
      <c r="AC21" s="53"/>
      <c r="AD21" s="53"/>
      <c r="AE21" s="53"/>
      <c r="AF21" s="53"/>
      <c r="AG21" s="53"/>
      <c r="AH21" s="53"/>
      <c r="AI21" s="53">
        <v>20</v>
      </c>
      <c r="AJ21" s="53">
        <v>17</v>
      </c>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row>
    <row r="22" spans="1:73" s="43" customFormat="1" ht="39" customHeight="1" thickBot="1" x14ac:dyDescent="0.3">
      <c r="A22" s="147"/>
      <c r="B22" s="80" t="s">
        <v>60</v>
      </c>
      <c r="C22" s="81" t="s">
        <v>51</v>
      </c>
      <c r="D22" s="46">
        <v>37</v>
      </c>
      <c r="E22" s="47">
        <f t="shared" ca="1" si="5"/>
        <v>0</v>
      </c>
      <c r="F22" s="82">
        <v>0</v>
      </c>
      <c r="G22" s="82"/>
      <c r="H22" s="82">
        <f t="shared" ca="1" si="3"/>
        <v>0</v>
      </c>
      <c r="I22" s="82"/>
      <c r="J22" s="83">
        <f t="shared" si="4"/>
        <v>37</v>
      </c>
      <c r="K22" s="73">
        <f t="shared" si="2"/>
        <v>0</v>
      </c>
      <c r="L22" s="38">
        <v>46375</v>
      </c>
      <c r="M22" s="74">
        <f>L22+2</f>
        <v>46377</v>
      </c>
      <c r="N22" s="40"/>
      <c r="O22" s="41">
        <f t="shared" si="1"/>
        <v>3</v>
      </c>
      <c r="P22" s="53"/>
      <c r="Q22" s="53"/>
      <c r="R22" s="53"/>
      <c r="S22" s="53"/>
      <c r="T22" s="53"/>
      <c r="U22" s="53"/>
      <c r="V22" s="53"/>
      <c r="W22" s="53"/>
      <c r="X22" s="53"/>
      <c r="Y22" s="53"/>
      <c r="Z22" s="53"/>
      <c r="AA22" s="53"/>
      <c r="AB22" s="53"/>
      <c r="AC22" s="53"/>
      <c r="AD22" s="53"/>
      <c r="AE22" s="53"/>
      <c r="AF22" s="53"/>
      <c r="AG22" s="53"/>
      <c r="AH22" s="53"/>
      <c r="AI22" s="53">
        <v>20</v>
      </c>
      <c r="AJ22" s="53">
        <v>17</v>
      </c>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row>
    <row r="23" spans="1:73" s="43" customFormat="1" ht="39" customHeight="1" thickBot="1" x14ac:dyDescent="0.3">
      <c r="A23" s="147" t="s">
        <v>61</v>
      </c>
      <c r="B23" s="75" t="s">
        <v>62</v>
      </c>
      <c r="C23" s="76" t="s">
        <v>48</v>
      </c>
      <c r="D23" s="33">
        <v>2015</v>
      </c>
      <c r="E23" s="34">
        <f t="shared" ca="1" si="5"/>
        <v>0</v>
      </c>
      <c r="F23" s="77">
        <v>0</v>
      </c>
      <c r="G23" s="77"/>
      <c r="H23" s="77">
        <f t="shared" ca="1" si="3"/>
        <v>0</v>
      </c>
      <c r="I23" s="77"/>
      <c r="J23" s="78">
        <f t="shared" si="4"/>
        <v>2015</v>
      </c>
      <c r="K23" s="60">
        <f t="shared" si="2"/>
        <v>0</v>
      </c>
      <c r="L23" s="61">
        <v>46321.375011574099</v>
      </c>
      <c r="M23" s="62">
        <v>46332.625011574099</v>
      </c>
      <c r="N23" s="40"/>
      <c r="O23" s="41">
        <f t="shared" si="1"/>
        <v>12.25</v>
      </c>
      <c r="P23" s="53"/>
      <c r="Q23" s="53"/>
      <c r="R23" s="53"/>
      <c r="S23" s="53"/>
      <c r="T23" s="53"/>
      <c r="U23" s="53"/>
      <c r="V23" s="53"/>
      <c r="W23" s="53"/>
      <c r="X23" s="53"/>
      <c r="Y23" s="53"/>
      <c r="Z23" s="53"/>
      <c r="AA23" s="53"/>
      <c r="AB23" s="53">
        <v>1015</v>
      </c>
      <c r="AC23" s="53">
        <v>1000</v>
      </c>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row>
    <row r="24" spans="1:73" s="43" customFormat="1" ht="39" customHeight="1" thickBot="1" x14ac:dyDescent="0.3">
      <c r="A24" s="147"/>
      <c r="B24" s="64" t="s">
        <v>63</v>
      </c>
      <c r="C24" s="65" t="s">
        <v>51</v>
      </c>
      <c r="D24" s="66">
        <v>35</v>
      </c>
      <c r="E24" s="67">
        <f t="shared" ca="1" si="5"/>
        <v>0</v>
      </c>
      <c r="F24" s="68">
        <v>0</v>
      </c>
      <c r="G24" s="68"/>
      <c r="H24" s="68">
        <f t="shared" ca="1" si="3"/>
        <v>0</v>
      </c>
      <c r="I24" s="68"/>
      <c r="J24" s="69">
        <f t="shared" si="4"/>
        <v>35</v>
      </c>
      <c r="K24" s="37">
        <f t="shared" si="2"/>
        <v>0</v>
      </c>
      <c r="L24" s="38">
        <v>46321.375011574099</v>
      </c>
      <c r="M24" s="70">
        <v>46332.625011574099</v>
      </c>
      <c r="N24" s="40"/>
      <c r="O24" s="41">
        <f t="shared" si="1"/>
        <v>12.25</v>
      </c>
      <c r="P24" s="53"/>
      <c r="Q24" s="53"/>
      <c r="R24" s="53"/>
      <c r="S24" s="53"/>
      <c r="T24" s="53"/>
      <c r="U24" s="53"/>
      <c r="V24" s="53"/>
      <c r="W24" s="53"/>
      <c r="X24" s="53"/>
      <c r="Y24" s="53"/>
      <c r="Z24" s="53"/>
      <c r="AA24" s="53"/>
      <c r="AB24" s="53">
        <v>20</v>
      </c>
      <c r="AC24" s="53">
        <v>15</v>
      </c>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3" s="43" customFormat="1" ht="39" customHeight="1" thickBot="1" x14ac:dyDescent="0.3">
      <c r="A25" s="147"/>
      <c r="B25" s="64" t="s">
        <v>64</v>
      </c>
      <c r="C25" s="65" t="s">
        <v>51</v>
      </c>
      <c r="D25" s="66">
        <v>3</v>
      </c>
      <c r="E25" s="67">
        <f t="shared" ca="1" si="5"/>
        <v>0</v>
      </c>
      <c r="F25" s="68">
        <v>0</v>
      </c>
      <c r="G25" s="68"/>
      <c r="H25" s="68">
        <f t="shared" ca="1" si="3"/>
        <v>0</v>
      </c>
      <c r="I25" s="68"/>
      <c r="J25" s="69">
        <f t="shared" si="4"/>
        <v>3</v>
      </c>
      <c r="K25" s="37">
        <f t="shared" si="2"/>
        <v>0</v>
      </c>
      <c r="L25" s="38">
        <v>46332</v>
      </c>
      <c r="M25" s="70">
        <v>46338.625011574099</v>
      </c>
      <c r="N25" s="40"/>
      <c r="O25" s="41">
        <f t="shared" si="1"/>
        <v>7.6250115740986075</v>
      </c>
      <c r="P25" s="53"/>
      <c r="Q25" s="53"/>
      <c r="R25" s="53"/>
      <c r="S25" s="53"/>
      <c r="T25" s="53"/>
      <c r="U25" s="53"/>
      <c r="V25" s="53"/>
      <c r="W25" s="53"/>
      <c r="X25" s="53"/>
      <c r="Y25" s="53"/>
      <c r="Z25" s="53"/>
      <c r="AA25" s="53"/>
      <c r="AB25" s="53"/>
      <c r="AC25" s="53">
        <v>2</v>
      </c>
      <c r="AD25" s="53">
        <v>1</v>
      </c>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row>
    <row r="26" spans="1:73" s="43" customFormat="1" ht="39" customHeight="1" thickBot="1" x14ac:dyDescent="0.3">
      <c r="A26" s="147"/>
      <c r="B26" s="64" t="s">
        <v>65</v>
      </c>
      <c r="C26" s="65" t="s">
        <v>51</v>
      </c>
      <c r="D26" s="66">
        <v>14</v>
      </c>
      <c r="E26" s="67">
        <f t="shared" ca="1" si="5"/>
        <v>0</v>
      </c>
      <c r="F26" s="68">
        <v>0</v>
      </c>
      <c r="G26" s="68"/>
      <c r="H26" s="68">
        <f t="shared" ca="1" si="3"/>
        <v>0</v>
      </c>
      <c r="I26" s="68"/>
      <c r="J26" s="69">
        <f t="shared" si="4"/>
        <v>14</v>
      </c>
      <c r="K26" s="37">
        <f t="shared" si="2"/>
        <v>0</v>
      </c>
      <c r="L26" s="38">
        <v>46338.375011574099</v>
      </c>
      <c r="M26" s="70">
        <v>46346</v>
      </c>
      <c r="N26" s="40"/>
      <c r="O26" s="41">
        <f t="shared" si="1"/>
        <v>8.6249884259013925</v>
      </c>
      <c r="P26" s="84"/>
      <c r="Q26" s="84"/>
      <c r="R26" s="84"/>
      <c r="S26" s="84"/>
      <c r="T26" s="84"/>
      <c r="U26" s="84"/>
      <c r="V26" s="84"/>
      <c r="W26" s="84"/>
      <c r="X26" s="84"/>
      <c r="Y26" s="84"/>
      <c r="Z26" s="84"/>
      <c r="AA26" s="84"/>
      <c r="AB26" s="84"/>
      <c r="AC26" s="84"/>
      <c r="AD26" s="84">
        <v>7</v>
      </c>
      <c r="AE26" s="84">
        <v>7</v>
      </c>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row>
    <row r="27" spans="1:73" s="43" customFormat="1" ht="39" customHeight="1" thickBot="1" x14ac:dyDescent="0.3">
      <c r="A27" s="147"/>
      <c r="B27" s="80" t="s">
        <v>66</v>
      </c>
      <c r="C27" s="81" t="s">
        <v>48</v>
      </c>
      <c r="D27" s="46">
        <v>2015</v>
      </c>
      <c r="E27" s="47">
        <f t="shared" ca="1" si="5"/>
        <v>0</v>
      </c>
      <c r="F27" s="82">
        <v>0</v>
      </c>
      <c r="G27" s="82"/>
      <c r="H27" s="82">
        <f t="shared" ca="1" si="3"/>
        <v>0</v>
      </c>
      <c r="I27" s="82"/>
      <c r="J27" s="83">
        <f t="shared" si="4"/>
        <v>2015</v>
      </c>
      <c r="K27" s="73">
        <f t="shared" si="2"/>
        <v>0</v>
      </c>
      <c r="L27" s="85">
        <v>46334.375011574099</v>
      </c>
      <c r="M27" s="74">
        <v>46342</v>
      </c>
      <c r="N27" s="40"/>
      <c r="O27" s="41">
        <f t="shared" si="1"/>
        <v>8.6249884259013925</v>
      </c>
      <c r="P27" s="53"/>
      <c r="Q27" s="53"/>
      <c r="R27" s="53"/>
      <c r="S27" s="53"/>
      <c r="T27" s="53"/>
      <c r="U27" s="53"/>
      <c r="V27" s="53"/>
      <c r="W27" s="53"/>
      <c r="X27" s="53"/>
      <c r="Y27" s="53"/>
      <c r="Z27" s="53"/>
      <c r="AA27" s="53"/>
      <c r="AB27" s="53"/>
      <c r="AC27" s="53"/>
      <c r="AD27" s="53">
        <v>1015</v>
      </c>
      <c r="AE27" s="53">
        <v>1000</v>
      </c>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row>
    <row r="28" spans="1:73" s="43" customFormat="1" ht="39" customHeight="1" thickBot="1" x14ac:dyDescent="0.3">
      <c r="A28" s="147" t="s">
        <v>67</v>
      </c>
      <c r="B28" s="75" t="s">
        <v>62</v>
      </c>
      <c r="C28" s="76" t="s">
        <v>48</v>
      </c>
      <c r="D28" s="56">
        <v>2948</v>
      </c>
      <c r="E28" s="57">
        <f t="shared" ca="1" si="5"/>
        <v>0</v>
      </c>
      <c r="F28" s="58">
        <v>0</v>
      </c>
      <c r="G28" s="58"/>
      <c r="H28" s="68">
        <f t="shared" ca="1" si="3"/>
        <v>0</v>
      </c>
      <c r="I28" s="58"/>
      <c r="J28" s="59">
        <f t="shared" si="4"/>
        <v>2948</v>
      </c>
      <c r="K28" s="60">
        <f t="shared" si="2"/>
        <v>0</v>
      </c>
      <c r="L28" s="61">
        <v>46342</v>
      </c>
      <c r="M28" s="62">
        <v>46356</v>
      </c>
      <c r="N28" s="40"/>
      <c r="O28" s="41">
        <f t="shared" si="1"/>
        <v>15</v>
      </c>
      <c r="P28" s="53"/>
      <c r="Q28" s="53"/>
      <c r="R28" s="53"/>
      <c r="S28" s="53"/>
      <c r="T28" s="53"/>
      <c r="U28" s="53"/>
      <c r="V28" s="53"/>
      <c r="W28" s="53"/>
      <c r="X28" s="53"/>
      <c r="Y28" s="53"/>
      <c r="Z28" s="53"/>
      <c r="AA28" s="53"/>
      <c r="AB28" s="53"/>
      <c r="AC28" s="53"/>
      <c r="AD28" s="53"/>
      <c r="AE28" s="53">
        <v>1000</v>
      </c>
      <c r="AF28" s="53">
        <v>1000</v>
      </c>
      <c r="AG28" s="53">
        <v>998</v>
      </c>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row>
    <row r="29" spans="1:73" s="43" customFormat="1" ht="39" customHeight="1" thickBot="1" x14ac:dyDescent="0.3">
      <c r="A29" s="147"/>
      <c r="B29" s="64" t="s">
        <v>63</v>
      </c>
      <c r="C29" s="65" t="s">
        <v>51</v>
      </c>
      <c r="D29" s="66">
        <v>16</v>
      </c>
      <c r="E29" s="67">
        <f t="shared" ca="1" si="5"/>
        <v>0</v>
      </c>
      <c r="F29" s="68">
        <v>0</v>
      </c>
      <c r="G29" s="68"/>
      <c r="H29" s="68">
        <f t="shared" ca="1" si="3"/>
        <v>0</v>
      </c>
      <c r="I29" s="68"/>
      <c r="J29" s="69">
        <f t="shared" si="4"/>
        <v>16</v>
      </c>
      <c r="K29" s="37">
        <f t="shared" si="2"/>
        <v>0</v>
      </c>
      <c r="L29" s="38">
        <v>46347</v>
      </c>
      <c r="M29" s="70">
        <v>46356</v>
      </c>
      <c r="N29" s="40"/>
      <c r="O29" s="41">
        <f t="shared" si="1"/>
        <v>10</v>
      </c>
      <c r="P29" s="53"/>
      <c r="Q29" s="53"/>
      <c r="R29" s="53"/>
      <c r="S29" s="53"/>
      <c r="T29" s="53"/>
      <c r="U29" s="53"/>
      <c r="V29" s="53"/>
      <c r="W29" s="53"/>
      <c r="X29" s="53"/>
      <c r="Y29" s="53"/>
      <c r="Z29" s="53"/>
      <c r="AA29" s="53"/>
      <c r="AB29" s="53"/>
      <c r="AC29" s="53"/>
      <c r="AD29" s="53"/>
      <c r="AE29" s="53">
        <v>6</v>
      </c>
      <c r="AF29" s="53">
        <v>5</v>
      </c>
      <c r="AG29" s="53">
        <v>5</v>
      </c>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3" s="43" customFormat="1" ht="39" customHeight="1" thickBot="1" x14ac:dyDescent="0.3">
      <c r="A30" s="147"/>
      <c r="B30" s="80" t="s">
        <v>66</v>
      </c>
      <c r="C30" s="81" t="s">
        <v>48</v>
      </c>
      <c r="D30" s="46">
        <v>2948</v>
      </c>
      <c r="E30" s="47">
        <f t="shared" ca="1" si="5"/>
        <v>984</v>
      </c>
      <c r="F30" s="82">
        <v>0</v>
      </c>
      <c r="G30" s="82"/>
      <c r="H30" s="82">
        <f t="shared" ca="1" si="3"/>
        <v>-984</v>
      </c>
      <c r="I30" s="82"/>
      <c r="J30" s="83">
        <f t="shared" si="4"/>
        <v>2948</v>
      </c>
      <c r="K30" s="73">
        <f t="shared" si="2"/>
        <v>0</v>
      </c>
      <c r="L30" s="85">
        <v>46311.875013483797</v>
      </c>
      <c r="M30" s="74">
        <v>46344.475011574097</v>
      </c>
      <c r="N30" s="40"/>
      <c r="O30" s="41">
        <f t="shared" si="1"/>
        <v>33.599998090299778</v>
      </c>
      <c r="P30" s="53"/>
      <c r="Q30" s="53"/>
      <c r="R30" s="53"/>
      <c r="S30" s="53"/>
      <c r="T30" s="53"/>
      <c r="U30" s="53"/>
      <c r="V30" s="53"/>
      <c r="W30" s="53"/>
      <c r="X30" s="53"/>
      <c r="Y30" s="53"/>
      <c r="Z30" s="53">
        <v>492</v>
      </c>
      <c r="AA30" s="53">
        <v>492</v>
      </c>
      <c r="AB30" s="53">
        <v>492</v>
      </c>
      <c r="AC30" s="53">
        <v>491</v>
      </c>
      <c r="AD30" s="53">
        <v>491</v>
      </c>
      <c r="AE30" s="53">
        <v>490</v>
      </c>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row>
    <row r="31" spans="1:73" s="43" customFormat="1" ht="39" customHeight="1" thickBot="1" x14ac:dyDescent="0.3">
      <c r="A31" s="147" t="s">
        <v>68</v>
      </c>
      <c r="B31" s="75" t="s">
        <v>69</v>
      </c>
      <c r="C31" s="76" t="s">
        <v>48</v>
      </c>
      <c r="D31" s="33">
        <v>7500</v>
      </c>
      <c r="E31" s="34">
        <f t="shared" ca="1" si="5"/>
        <v>1500</v>
      </c>
      <c r="F31" s="35">
        <v>0</v>
      </c>
      <c r="G31" s="35"/>
      <c r="H31" s="86">
        <f t="shared" ca="1" si="3"/>
        <v>-1500</v>
      </c>
      <c r="I31" s="35"/>
      <c r="J31" s="36">
        <f t="shared" si="4"/>
        <v>7500</v>
      </c>
      <c r="K31" s="60">
        <f t="shared" si="2"/>
        <v>0</v>
      </c>
      <c r="L31" s="61">
        <v>46313.475013483803</v>
      </c>
      <c r="M31" s="62">
        <v>46345.308344907397</v>
      </c>
      <c r="N31" s="40"/>
      <c r="O31" s="41">
        <f t="shared" si="1"/>
        <v>32.833331423593336</v>
      </c>
      <c r="P31" s="53"/>
      <c r="Q31" s="53"/>
      <c r="R31" s="53"/>
      <c r="S31" s="53"/>
      <c r="T31" s="53"/>
      <c r="U31" s="53"/>
      <c r="V31" s="53"/>
      <c r="W31" s="53"/>
      <c r="X31" s="53"/>
      <c r="Y31" s="53"/>
      <c r="Z31" s="53"/>
      <c r="AA31" s="53">
        <v>1500</v>
      </c>
      <c r="AB31" s="53">
        <v>1500</v>
      </c>
      <c r="AC31" s="53">
        <v>1500</v>
      </c>
      <c r="AD31" s="53">
        <v>1500</v>
      </c>
      <c r="AE31" s="53">
        <v>1500</v>
      </c>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row>
    <row r="32" spans="1:73" s="43" customFormat="1" ht="39" customHeight="1" thickBot="1" x14ac:dyDescent="0.3">
      <c r="A32" s="147"/>
      <c r="B32" s="64" t="s">
        <v>70</v>
      </c>
      <c r="C32" s="65" t="s">
        <v>51</v>
      </c>
      <c r="D32" s="66">
        <v>65</v>
      </c>
      <c r="E32" s="67">
        <f t="shared" ca="1" si="5"/>
        <v>13</v>
      </c>
      <c r="F32" s="86">
        <v>0</v>
      </c>
      <c r="G32" s="86"/>
      <c r="H32" s="86">
        <f t="shared" ca="1" si="3"/>
        <v>-13</v>
      </c>
      <c r="I32" s="86"/>
      <c r="J32" s="87">
        <f t="shared" si="4"/>
        <v>65</v>
      </c>
      <c r="K32" s="37">
        <f t="shared" si="2"/>
        <v>0</v>
      </c>
      <c r="L32" s="38">
        <v>46314.308346817103</v>
      </c>
      <c r="M32" s="70">
        <v>46346.141678240703</v>
      </c>
      <c r="N32" s="40"/>
      <c r="O32" s="88">
        <f t="shared" si="1"/>
        <v>32.833331423600612</v>
      </c>
      <c r="P32" s="53"/>
      <c r="Q32" s="53"/>
      <c r="R32" s="53"/>
      <c r="S32" s="53"/>
      <c r="T32" s="53"/>
      <c r="U32" s="53"/>
      <c r="V32" s="53"/>
      <c r="W32" s="53"/>
      <c r="X32" s="53"/>
      <c r="Y32" s="53"/>
      <c r="Z32" s="53"/>
      <c r="AA32" s="53">
        <v>13</v>
      </c>
      <c r="AB32" s="53">
        <v>13</v>
      </c>
      <c r="AC32" s="53">
        <v>13</v>
      </c>
      <c r="AD32" s="53">
        <v>13</v>
      </c>
      <c r="AE32" s="53">
        <v>13</v>
      </c>
      <c r="AF32" s="53"/>
      <c r="AG32" s="53"/>
      <c r="AH32" s="53"/>
      <c r="AI32" s="53"/>
      <c r="AJ32" s="53"/>
      <c r="AK32" s="53"/>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row>
    <row r="33" spans="1:37" ht="39" customHeight="1" thickBot="1" x14ac:dyDescent="0.3">
      <c r="A33" s="147"/>
      <c r="B33" s="64" t="s">
        <v>71</v>
      </c>
      <c r="C33" s="65" t="s">
        <v>51</v>
      </c>
      <c r="D33" s="66">
        <v>65</v>
      </c>
      <c r="E33" s="67">
        <f t="shared" ca="1" si="5"/>
        <v>13</v>
      </c>
      <c r="F33" s="86">
        <v>0</v>
      </c>
      <c r="G33" s="86"/>
      <c r="H33" s="86">
        <f t="shared" ca="1" si="3"/>
        <v>-13</v>
      </c>
      <c r="I33" s="86"/>
      <c r="J33" s="87">
        <f t="shared" si="4"/>
        <v>65</v>
      </c>
      <c r="K33" s="37">
        <f t="shared" si="2"/>
        <v>0</v>
      </c>
      <c r="L33" s="38">
        <v>46315.141680150497</v>
      </c>
      <c r="M33" s="70">
        <v>46348.141678240703</v>
      </c>
      <c r="N33" s="90"/>
      <c r="P33" s="53"/>
      <c r="Q33" s="53"/>
      <c r="R33" s="53"/>
      <c r="S33" s="53"/>
      <c r="T33" s="53"/>
      <c r="U33" s="53"/>
      <c r="V33" s="53"/>
      <c r="W33" s="53"/>
      <c r="X33" s="53"/>
      <c r="Y33" s="53"/>
      <c r="Z33" s="53"/>
      <c r="AA33" s="53">
        <v>13</v>
      </c>
      <c r="AB33" s="53">
        <v>12</v>
      </c>
      <c r="AC33" s="53">
        <v>10</v>
      </c>
      <c r="AD33" s="53">
        <v>10</v>
      </c>
      <c r="AE33" s="53">
        <v>10</v>
      </c>
      <c r="AF33" s="53">
        <v>10</v>
      </c>
      <c r="AG33" s="53"/>
      <c r="AH33" s="53"/>
      <c r="AI33" s="53"/>
      <c r="AJ33" s="53"/>
      <c r="AK33" s="53"/>
    </row>
    <row r="34" spans="1:37" ht="39" customHeight="1" thickBot="1" x14ac:dyDescent="0.3">
      <c r="A34" s="147"/>
      <c r="B34" s="64" t="s">
        <v>72</v>
      </c>
      <c r="C34" s="65" t="s">
        <v>51</v>
      </c>
      <c r="D34" s="66">
        <v>93</v>
      </c>
      <c r="E34" s="67">
        <f t="shared" ca="1" si="5"/>
        <v>0</v>
      </c>
      <c r="F34" s="86">
        <v>0</v>
      </c>
      <c r="G34" s="86"/>
      <c r="H34" s="86">
        <f t="shared" ca="1" si="3"/>
        <v>0</v>
      </c>
      <c r="I34" s="86"/>
      <c r="J34" s="87">
        <f t="shared" si="4"/>
        <v>93</v>
      </c>
      <c r="K34" s="37">
        <f t="shared" si="2"/>
        <v>0</v>
      </c>
      <c r="L34" s="38">
        <v>46329.308346817103</v>
      </c>
      <c r="M34" s="70">
        <v>46348.308344907397</v>
      </c>
      <c r="P34" s="53"/>
      <c r="Q34" s="53"/>
      <c r="R34" s="53"/>
      <c r="S34" s="53"/>
      <c r="T34" s="53"/>
      <c r="U34" s="53"/>
      <c r="V34" s="53"/>
      <c r="W34" s="53"/>
      <c r="X34" s="53"/>
      <c r="Y34" s="53"/>
      <c r="Z34" s="53"/>
      <c r="AA34" s="53"/>
      <c r="AB34" s="53"/>
      <c r="AC34" s="53">
        <v>25</v>
      </c>
      <c r="AD34" s="53">
        <v>25</v>
      </c>
      <c r="AE34" s="53">
        <v>22</v>
      </c>
      <c r="AF34" s="53">
        <v>20</v>
      </c>
      <c r="AG34" s="53"/>
      <c r="AH34" s="53"/>
      <c r="AI34" s="53"/>
      <c r="AJ34" s="53"/>
      <c r="AK34" s="53"/>
    </row>
    <row r="35" spans="1:37" ht="39" customHeight="1" thickBot="1" x14ac:dyDescent="0.3">
      <c r="A35" s="147"/>
      <c r="B35" s="80" t="s">
        <v>73</v>
      </c>
      <c r="C35" s="81" t="s">
        <v>51</v>
      </c>
      <c r="D35" s="46">
        <v>1</v>
      </c>
      <c r="E35" s="47">
        <f t="shared" ca="1" si="5"/>
        <v>0</v>
      </c>
      <c r="F35" s="48">
        <v>0</v>
      </c>
      <c r="G35" s="48"/>
      <c r="H35" s="48">
        <f t="shared" ca="1" si="3"/>
        <v>0</v>
      </c>
      <c r="I35" s="48"/>
      <c r="J35" s="49">
        <f t="shared" si="4"/>
        <v>1</v>
      </c>
      <c r="K35" s="73">
        <f t="shared" si="2"/>
        <v>0</v>
      </c>
      <c r="L35" s="85">
        <f>M34+1</f>
        <v>46349.308344907397</v>
      </c>
      <c r="M35" s="74">
        <f>L35+1</f>
        <v>46350.308344907397</v>
      </c>
      <c r="P35" s="53"/>
      <c r="Q35" s="53"/>
      <c r="R35" s="53"/>
      <c r="S35" s="53"/>
      <c r="T35" s="53"/>
      <c r="U35" s="53"/>
      <c r="V35" s="53"/>
      <c r="W35" s="53"/>
      <c r="X35" s="53"/>
      <c r="Y35" s="53"/>
      <c r="Z35" s="53"/>
      <c r="AA35" s="53"/>
      <c r="AB35" s="53"/>
      <c r="AC35" s="53"/>
      <c r="AD35" s="53"/>
      <c r="AE35" s="53"/>
      <c r="AF35" s="53">
        <v>1</v>
      </c>
      <c r="AG35" s="53"/>
      <c r="AH35" s="53"/>
      <c r="AI35" s="53"/>
      <c r="AJ35" s="53"/>
      <c r="AK35" s="53"/>
    </row>
    <row r="36" spans="1:37" ht="39" customHeight="1" thickBot="1" x14ac:dyDescent="0.3">
      <c r="A36" s="147" t="s">
        <v>74</v>
      </c>
      <c r="B36" s="75" t="s">
        <v>75</v>
      </c>
      <c r="C36" s="76" t="s">
        <v>48</v>
      </c>
      <c r="D36" s="33">
        <v>4000</v>
      </c>
      <c r="E36" s="34">
        <f t="shared" ca="1" si="5"/>
        <v>0</v>
      </c>
      <c r="F36" s="35">
        <v>0</v>
      </c>
      <c r="G36" s="35"/>
      <c r="H36" s="68">
        <f t="shared" ca="1" si="3"/>
        <v>0</v>
      </c>
      <c r="I36" s="35"/>
      <c r="J36" s="36">
        <f t="shared" si="4"/>
        <v>4000</v>
      </c>
      <c r="K36" s="60">
        <f t="shared" si="2"/>
        <v>0</v>
      </c>
      <c r="L36" s="61">
        <v>46342.308344907397</v>
      </c>
      <c r="M36" s="62">
        <v>46348.008344907401</v>
      </c>
      <c r="P36" s="53"/>
      <c r="Q36" s="53"/>
      <c r="R36" s="53"/>
      <c r="S36" s="53"/>
      <c r="T36" s="53"/>
      <c r="U36" s="53"/>
      <c r="V36" s="53"/>
      <c r="W36" s="53"/>
      <c r="X36" s="53"/>
      <c r="Y36" s="53"/>
      <c r="Z36" s="53"/>
      <c r="AA36" s="53"/>
      <c r="AB36" s="53"/>
      <c r="AC36" s="53"/>
      <c r="AD36" s="53"/>
      <c r="AE36" s="53">
        <v>2000</v>
      </c>
      <c r="AF36" s="53">
        <v>2000</v>
      </c>
      <c r="AG36" s="53"/>
      <c r="AH36" s="53"/>
      <c r="AI36" s="53"/>
      <c r="AJ36" s="53"/>
      <c r="AK36" s="53"/>
    </row>
    <row r="37" spans="1:37" ht="39" customHeight="1" thickBot="1" x14ac:dyDescent="0.3">
      <c r="A37" s="147"/>
      <c r="B37" s="80" t="s">
        <v>76</v>
      </c>
      <c r="C37" s="81" t="s">
        <v>51</v>
      </c>
      <c r="D37" s="46">
        <v>50</v>
      </c>
      <c r="E37" s="47">
        <f t="shared" ca="1" si="5"/>
        <v>0</v>
      </c>
      <c r="F37" s="48">
        <v>0</v>
      </c>
      <c r="G37" s="48"/>
      <c r="H37" s="82">
        <f t="shared" ca="1" si="3"/>
        <v>0</v>
      </c>
      <c r="I37" s="48"/>
      <c r="J37" s="49">
        <f t="shared" si="4"/>
        <v>50</v>
      </c>
      <c r="K37" s="73">
        <f t="shared" si="2"/>
        <v>0</v>
      </c>
      <c r="L37" s="85">
        <v>46344.008344907401</v>
      </c>
      <c r="M37" s="74">
        <f>L37+9</f>
        <v>46353.008344907401</v>
      </c>
      <c r="P37" s="53"/>
      <c r="Q37" s="53"/>
      <c r="R37" s="53"/>
      <c r="S37" s="53"/>
      <c r="T37" s="53"/>
      <c r="U37" s="53"/>
      <c r="V37" s="53"/>
      <c r="W37" s="53"/>
      <c r="X37" s="53"/>
      <c r="Y37" s="53"/>
      <c r="Z37" s="53"/>
      <c r="AA37" s="53"/>
      <c r="AB37" s="53"/>
      <c r="AC37" s="53"/>
      <c r="AD37" s="53"/>
      <c r="AE37" s="53">
        <v>25</v>
      </c>
      <c r="AF37" s="53">
        <v>25</v>
      </c>
      <c r="AG37" s="53"/>
      <c r="AH37" s="53"/>
      <c r="AI37" s="53"/>
      <c r="AJ37" s="53"/>
      <c r="AK37" s="53"/>
    </row>
    <row r="38" spans="1:37" ht="39" customHeight="1" thickBot="1" x14ac:dyDescent="0.3">
      <c r="A38" s="147" t="s">
        <v>77</v>
      </c>
      <c r="B38" s="64" t="s">
        <v>78</v>
      </c>
      <c r="C38" s="65" t="s">
        <v>44</v>
      </c>
      <c r="D38" s="66">
        <v>16000</v>
      </c>
      <c r="E38" s="67">
        <f t="shared" ca="1" si="5"/>
        <v>0</v>
      </c>
      <c r="F38" s="86">
        <v>0</v>
      </c>
      <c r="G38" s="86"/>
      <c r="H38" s="86">
        <f t="shared" ca="1" si="3"/>
        <v>0</v>
      </c>
      <c r="I38" s="86"/>
      <c r="J38" s="87">
        <f t="shared" si="4"/>
        <v>16000</v>
      </c>
      <c r="K38" s="91">
        <f t="shared" si="2"/>
        <v>0</v>
      </c>
      <c r="L38" s="61">
        <v>46342.308344907397</v>
      </c>
      <c r="M38" s="62">
        <v>46348.008344907401</v>
      </c>
      <c r="P38" s="53"/>
      <c r="Q38" s="53"/>
      <c r="R38" s="53"/>
      <c r="S38" s="53"/>
      <c r="T38" s="53"/>
      <c r="U38" s="53"/>
      <c r="V38" s="53"/>
      <c r="W38" s="53"/>
      <c r="X38" s="53"/>
      <c r="Y38" s="53"/>
      <c r="Z38" s="53"/>
      <c r="AA38" s="53"/>
      <c r="AB38" s="53"/>
      <c r="AC38" s="53"/>
      <c r="AD38" s="53"/>
      <c r="AE38" s="53">
        <v>8000</v>
      </c>
      <c r="AF38" s="53">
        <v>8000</v>
      </c>
      <c r="AG38" s="53"/>
      <c r="AH38" s="53"/>
      <c r="AI38" s="53"/>
      <c r="AJ38" s="53"/>
      <c r="AK38" s="53"/>
    </row>
    <row r="39" spans="1:37" ht="39" customHeight="1" thickBot="1" x14ac:dyDescent="0.3">
      <c r="A39" s="147"/>
      <c r="B39" s="64" t="s">
        <v>79</v>
      </c>
      <c r="C39" s="65" t="s">
        <v>44</v>
      </c>
      <c r="D39" s="66">
        <v>8400</v>
      </c>
      <c r="E39" s="67">
        <f t="shared" ca="1" si="5"/>
        <v>0</v>
      </c>
      <c r="F39" s="86">
        <v>0</v>
      </c>
      <c r="G39" s="86"/>
      <c r="H39" s="86">
        <f t="shared" ca="1" si="3"/>
        <v>0</v>
      </c>
      <c r="I39" s="86"/>
      <c r="J39" s="87">
        <f t="shared" si="4"/>
        <v>8400</v>
      </c>
      <c r="K39" s="37">
        <f t="shared" si="2"/>
        <v>0</v>
      </c>
      <c r="L39" s="85">
        <v>46349.008344907401</v>
      </c>
      <c r="M39" s="74">
        <f>L39+9</f>
        <v>46358.008344907401</v>
      </c>
      <c r="P39" s="53"/>
      <c r="Q39" s="53"/>
      <c r="R39" s="53"/>
      <c r="S39" s="53"/>
      <c r="T39" s="53"/>
      <c r="U39" s="53"/>
      <c r="V39" s="53"/>
      <c r="W39" s="53"/>
      <c r="X39" s="53"/>
      <c r="Y39" s="53"/>
      <c r="Z39" s="53"/>
      <c r="AA39" s="53"/>
      <c r="AB39" s="53"/>
      <c r="AC39" s="53"/>
      <c r="AD39" s="53"/>
      <c r="AE39" s="53"/>
      <c r="AF39" s="53">
        <v>4200</v>
      </c>
      <c r="AG39" s="53">
        <v>4200</v>
      </c>
      <c r="AH39" s="53"/>
      <c r="AI39" s="53"/>
      <c r="AJ39" s="53"/>
      <c r="AK39" s="53"/>
    </row>
    <row r="40" spans="1:37" ht="39" customHeight="1" thickBot="1" x14ac:dyDescent="0.3">
      <c r="A40" s="147"/>
      <c r="B40" s="64" t="s">
        <v>80</v>
      </c>
      <c r="C40" s="65" t="s">
        <v>44</v>
      </c>
      <c r="D40" s="66">
        <f>1800*15*0.05</f>
        <v>1350</v>
      </c>
      <c r="E40" s="67">
        <f t="shared" ca="1" si="5"/>
        <v>0</v>
      </c>
      <c r="F40" s="86">
        <v>0</v>
      </c>
      <c r="G40" s="86"/>
      <c r="H40" s="68">
        <f t="shared" ca="1" si="3"/>
        <v>0</v>
      </c>
      <c r="I40" s="86"/>
      <c r="J40" s="87">
        <f t="shared" si="4"/>
        <v>1350</v>
      </c>
      <c r="K40" s="37">
        <f t="shared" si="2"/>
        <v>0</v>
      </c>
      <c r="L40" s="38">
        <f>M39+1</f>
        <v>46359.008344907401</v>
      </c>
      <c r="M40" s="70">
        <f>L40+2</f>
        <v>46361.008344907401</v>
      </c>
      <c r="P40" s="53"/>
      <c r="Q40" s="53"/>
      <c r="R40" s="53"/>
      <c r="S40" s="53"/>
      <c r="T40" s="53"/>
      <c r="U40" s="53"/>
      <c r="V40" s="53"/>
      <c r="W40" s="53"/>
      <c r="X40" s="53"/>
      <c r="Y40" s="53"/>
      <c r="Z40" s="53"/>
      <c r="AA40" s="53"/>
      <c r="AB40" s="53"/>
      <c r="AC40" s="53"/>
      <c r="AD40" s="53"/>
      <c r="AE40" s="53"/>
      <c r="AF40" s="53"/>
      <c r="AG40" s="53">
        <v>1350</v>
      </c>
      <c r="AH40" s="53"/>
      <c r="AI40" s="53"/>
      <c r="AJ40" s="53"/>
      <c r="AK40" s="53"/>
    </row>
    <row r="41" spans="1:37" ht="39" customHeight="1" thickBot="1" x14ac:dyDescent="0.3">
      <c r="A41" s="147"/>
      <c r="B41" s="64" t="s">
        <v>81</v>
      </c>
      <c r="C41" s="65" t="s">
        <v>44</v>
      </c>
      <c r="D41" s="66">
        <f>1800*15*0.05</f>
        <v>1350</v>
      </c>
      <c r="E41" s="67">
        <f t="shared" ca="1" si="5"/>
        <v>0</v>
      </c>
      <c r="F41" s="86">
        <v>0</v>
      </c>
      <c r="G41" s="86"/>
      <c r="H41" s="82">
        <f t="shared" ca="1" si="3"/>
        <v>0</v>
      </c>
      <c r="I41" s="86"/>
      <c r="J41" s="87">
        <f t="shared" si="4"/>
        <v>1350</v>
      </c>
      <c r="K41" s="37">
        <f t="shared" si="2"/>
        <v>0</v>
      </c>
      <c r="L41" s="38">
        <f>M42+1</f>
        <v>46371.008344907401</v>
      </c>
      <c r="M41" s="70">
        <f>L41+1</f>
        <v>46372.008344907401</v>
      </c>
      <c r="P41" s="53"/>
      <c r="Q41" s="53"/>
      <c r="R41" s="53"/>
      <c r="S41" s="53"/>
      <c r="T41" s="53"/>
      <c r="U41" s="53"/>
      <c r="V41" s="53"/>
      <c r="W41" s="53"/>
      <c r="X41" s="53"/>
      <c r="Y41" s="53"/>
      <c r="Z41" s="53"/>
      <c r="AA41" s="53"/>
      <c r="AB41" s="53"/>
      <c r="AC41" s="53"/>
      <c r="AD41" s="53"/>
      <c r="AE41" s="53"/>
      <c r="AF41" s="53"/>
      <c r="AG41" s="53"/>
      <c r="AH41" s="53"/>
      <c r="AI41" s="53">
        <v>1350</v>
      </c>
      <c r="AJ41" s="53"/>
      <c r="AK41" s="53"/>
    </row>
    <row r="42" spans="1:37" ht="39" customHeight="1" thickBot="1" x14ac:dyDescent="0.3">
      <c r="A42" s="147"/>
      <c r="B42" s="75" t="s">
        <v>82</v>
      </c>
      <c r="C42" s="76" t="s">
        <v>48</v>
      </c>
      <c r="D42" s="33">
        <v>12000</v>
      </c>
      <c r="E42" s="34">
        <f t="shared" ca="1" si="5"/>
        <v>0</v>
      </c>
      <c r="F42" s="35">
        <v>0</v>
      </c>
      <c r="G42" s="35"/>
      <c r="H42" s="86">
        <f t="shared" ca="1" si="3"/>
        <v>0</v>
      </c>
      <c r="I42" s="35"/>
      <c r="J42" s="36">
        <f t="shared" si="4"/>
        <v>12000</v>
      </c>
      <c r="K42" s="37">
        <f t="shared" si="2"/>
        <v>0</v>
      </c>
      <c r="L42" s="38">
        <f>M40+1</f>
        <v>46362.008344907401</v>
      </c>
      <c r="M42" s="70">
        <f>L42+8</f>
        <v>46370.008344907401</v>
      </c>
      <c r="P42" s="53"/>
      <c r="Q42" s="53"/>
      <c r="R42" s="53"/>
      <c r="S42" s="53"/>
      <c r="T42" s="53"/>
      <c r="U42" s="53"/>
      <c r="V42" s="53"/>
      <c r="W42" s="53"/>
      <c r="X42" s="53"/>
      <c r="Y42" s="53"/>
      <c r="Z42" s="53"/>
      <c r="AA42" s="53"/>
      <c r="AB42" s="53"/>
      <c r="AC42" s="53"/>
      <c r="AD42" s="53"/>
      <c r="AE42" s="53"/>
      <c r="AF42" s="53"/>
      <c r="AG42" s="53"/>
      <c r="AH42" s="53">
        <v>6000</v>
      </c>
      <c r="AI42" s="53">
        <v>6000</v>
      </c>
      <c r="AJ42" s="53"/>
      <c r="AK42" s="53"/>
    </row>
    <row r="43" spans="1:37" ht="39" customHeight="1" thickBot="1" x14ac:dyDescent="0.3">
      <c r="A43" s="147"/>
      <c r="B43" s="64" t="s">
        <v>83</v>
      </c>
      <c r="C43" s="65" t="s">
        <v>84</v>
      </c>
      <c r="D43" s="66">
        <f>60000-1800*15</f>
        <v>33000</v>
      </c>
      <c r="E43" s="67">
        <f t="shared" ca="1" si="5"/>
        <v>0</v>
      </c>
      <c r="F43" s="86">
        <v>0</v>
      </c>
      <c r="G43" s="86"/>
      <c r="H43" s="68">
        <f t="shared" ca="1" si="3"/>
        <v>0</v>
      </c>
      <c r="I43" s="86"/>
      <c r="J43" s="87">
        <f t="shared" si="4"/>
        <v>33000</v>
      </c>
      <c r="K43" s="37">
        <f t="shared" si="2"/>
        <v>0</v>
      </c>
      <c r="L43" s="38">
        <f>L42+2</f>
        <v>46364.008344907401</v>
      </c>
      <c r="M43" s="70">
        <v>46387</v>
      </c>
      <c r="AH43">
        <v>8250</v>
      </c>
      <c r="AI43">
        <v>8250</v>
      </c>
      <c r="AJ43">
        <v>8250</v>
      </c>
      <c r="AK43">
        <v>8250</v>
      </c>
    </row>
    <row r="44" spans="1:37" ht="39" customHeight="1" thickBot="1" x14ac:dyDescent="0.3">
      <c r="A44" s="147"/>
      <c r="B44" s="80" t="s">
        <v>85</v>
      </c>
      <c r="C44" s="81" t="s">
        <v>84</v>
      </c>
      <c r="D44" s="46">
        <v>2000</v>
      </c>
      <c r="E44" s="47">
        <f t="shared" ca="1" si="5"/>
        <v>0</v>
      </c>
      <c r="F44" s="48">
        <v>0</v>
      </c>
      <c r="G44" s="48"/>
      <c r="H44" s="82">
        <f t="shared" ca="1" si="3"/>
        <v>0</v>
      </c>
      <c r="I44" s="48"/>
      <c r="J44" s="49">
        <f t="shared" si="4"/>
        <v>2000</v>
      </c>
      <c r="K44" s="73">
        <f t="shared" si="2"/>
        <v>0</v>
      </c>
      <c r="L44" s="85">
        <v>46378</v>
      </c>
      <c r="M44" s="74">
        <f>L44+9</f>
        <v>46387</v>
      </c>
      <c r="AJ44">
        <v>1000</v>
      </c>
      <c r="AK44">
        <v>1000</v>
      </c>
    </row>
  </sheetData>
  <mergeCells count="23">
    <mergeCell ref="A1:L1"/>
    <mergeCell ref="P4:AK4"/>
    <mergeCell ref="A5:A6"/>
    <mergeCell ref="B5:B6"/>
    <mergeCell ref="C5:C6"/>
    <mergeCell ref="D5:D6"/>
    <mergeCell ref="E5:E6"/>
    <mergeCell ref="F5:F6"/>
    <mergeCell ref="G5:G6"/>
    <mergeCell ref="H5:H6"/>
    <mergeCell ref="I5:I6"/>
    <mergeCell ref="J5:J6"/>
    <mergeCell ref="K5:K6"/>
    <mergeCell ref="L5:L6"/>
    <mergeCell ref="M5:M6"/>
    <mergeCell ref="A31:A35"/>
    <mergeCell ref="A36:A37"/>
    <mergeCell ref="A38:A44"/>
    <mergeCell ref="A8:A9"/>
    <mergeCell ref="A10:A17"/>
    <mergeCell ref="A18:A22"/>
    <mergeCell ref="A23:A27"/>
    <mergeCell ref="A28:A30"/>
  </mergeCells>
  <conditionalFormatting sqref="H8:H44">
    <cfRule type="cellIs" dxfId="50" priority="1" operator="lessThan">
      <formula>0</formula>
    </cfRule>
    <cfRule type="cellIs" dxfId="49" priority="2" operator="greaterThan">
      <formula>0</formula>
    </cfRule>
  </conditionalFormatting>
  <conditionalFormatting sqref="K7:K44">
    <cfRule type="dataBar" priority="12">
      <dataBar>
        <cfvo type="num" val="0"/>
        <cfvo type="num" val="1"/>
        <color rgb="FFFFFFFF"/>
      </dataBar>
      <extLst>
        <ext xmlns:x14="http://schemas.microsoft.com/office/spreadsheetml/2009/9/main" uri="{B025F937-C7B1-47D3-B67F-A62EFF666E3E}">
          <x14:id>{EFC1F719-C692-42C3-88C0-10E9844C5D6E}</x14:id>
        </ext>
      </extLst>
    </cfRule>
  </conditionalFormatting>
  <conditionalFormatting sqref="K8:K44">
    <cfRule type="cellIs" dxfId="48" priority="5" operator="equal">
      <formula>100</formula>
    </cfRule>
    <cfRule type="cellIs" dxfId="47" priority="6" operator="equal">
      <formula>0</formula>
    </cfRule>
    <cfRule type="cellIs" dxfId="46" priority="7" operator="between">
      <formula>1</formula>
      <formula>99</formula>
    </cfRule>
    <cfRule type="cellIs" dxfId="45" priority="8" operator="greaterThan">
      <formula>0</formula>
    </cfRule>
  </conditionalFormatting>
  <conditionalFormatting sqref="K14">
    <cfRule type="cellIs" dxfId="44" priority="4" operator="equal">
      <formula>1</formula>
    </cfRule>
  </conditionalFormatting>
  <conditionalFormatting sqref="P5:AK44">
    <cfRule type="expression" dxfId="43" priority="11">
      <formula>AND(TODAY()&gt;=P$5,TODAY()&lt;P$5+7)</formula>
    </cfRule>
  </conditionalFormatting>
  <conditionalFormatting sqref="P8:AK44">
    <cfRule type="expression" dxfId="42" priority="9">
      <formula>AND(task_progress&gt;0,task_start&lt;=P$5+6,ROUNDDOWN((task_end-task_start+1)*task_progress,0)+task_start-1&gt;=P$5)</formula>
    </cfRule>
    <cfRule type="expression" dxfId="41" priority="10">
      <formula>AND(task_end&gt;=P$5,task_start&lt;=P$5+6)</formula>
    </cfRule>
  </conditionalFormatting>
  <dataValidations count="6">
    <dataValidation type="whole" operator="greaterThanOrEqual" allowBlank="1" showInputMessage="1" promptTitle="Display Week" prompt="Changing this number will scroll the Gantt Chart view." sqref="Z2" xr:uid="{00000000-0002-0000-0000-000000000000}">
      <formula1>1</formula1>
      <formula2>0</formula2>
    </dataValidation>
    <dataValidation allowBlank="1" showInputMessage="1" showErrorMessage="1" prompt="Enter Company name in cel B2." sqref="A2" xr:uid="{00000000-0002-0000-00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0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000-000005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legacyDrawing r:id="rId2"/>
  <extLst>
    <ext xmlns:x14="http://schemas.microsoft.com/office/spreadsheetml/2009/9/main" uri="{78C0D931-6437-407d-A8EE-F0AAD7539E65}">
      <x14:conditionalFormattings>
        <x14:conditionalFormatting xmlns:xm="http://schemas.microsoft.com/office/excel/2006/main">
          <x14:cfRule type="dataBar" id="{EFC1F719-C692-42C3-88C0-10E9844C5D6E}">
            <x14:dataBar axisPosition="none">
              <x14:cfvo type="num">
                <xm:f>0</xm:f>
              </x14:cfvo>
              <x14:cfvo type="num">
                <xm:f>1</xm:f>
              </x14:cfvo>
              <x14:negativeFillColor rgb="FFFFFFFF"/>
            </x14:dataBar>
          </x14:cfRule>
          <xm:sqref>K7:K44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Y42"/>
  <sheetViews>
    <sheetView showGridLines="0" rightToLeft="1" view="pageBreakPreview" zoomScale="55" zoomScaleNormal="40" zoomScalePageLayoutView="55" workbookViewId="0">
      <selection activeCell="E10" sqref="E10"/>
    </sheetView>
  </sheetViews>
  <sheetFormatPr defaultColWidth="8.69921875" defaultRowHeight="13.8" x14ac:dyDescent="0.25"/>
  <cols>
    <col min="1" max="1" width="29.796875" style="1" customWidth="1"/>
    <col min="2" max="2" width="40.296875" customWidth="1"/>
    <col min="3" max="3" width="9.69921875" customWidth="1"/>
    <col min="4" max="6" width="22.69921875" customWidth="1"/>
    <col min="7" max="7" width="22.69921875" hidden="1" customWidth="1"/>
    <col min="8" max="10" width="22.69921875" customWidth="1"/>
    <col min="11" max="11" width="30.796875" customWidth="1"/>
    <col min="12" max="12" width="19.59765625" style="2" customWidth="1"/>
    <col min="13" max="13" width="22" customWidth="1"/>
    <col min="14" max="14" width="1.796875" customWidth="1"/>
    <col min="15" max="15" width="6" hidden="1" customWidth="1"/>
    <col min="16" max="16" width="8.5" customWidth="1"/>
    <col min="17" max="17" width="9.59765625" customWidth="1"/>
    <col min="18" max="72" width="8.5" customWidth="1"/>
  </cols>
  <sheetData>
    <row r="1" spans="1:129" ht="72" customHeight="1" x14ac:dyDescent="1.45">
      <c r="A1" s="137" t="s">
        <v>0</v>
      </c>
      <c r="B1" s="137"/>
      <c r="C1" s="137"/>
      <c r="D1" s="137"/>
      <c r="E1" s="137"/>
      <c r="F1" s="137"/>
      <c r="G1" s="137"/>
      <c r="H1" s="137"/>
      <c r="I1" s="137"/>
      <c r="J1" s="137"/>
      <c r="K1" s="137"/>
      <c r="L1" s="137"/>
      <c r="M1" s="3"/>
      <c r="O1" s="4"/>
      <c r="P1" s="5" t="s">
        <v>1</v>
      </c>
      <c r="Q1" s="6">
        <f ca="1">TODAY()</f>
        <v>46315</v>
      </c>
      <c r="Y1" s="7"/>
      <c r="Z1" s="8"/>
    </row>
    <row r="2" spans="1:129" ht="30" customHeight="1" x14ac:dyDescent="0.6">
      <c r="B2" s="9"/>
      <c r="C2" s="9"/>
      <c r="D2" s="9"/>
      <c r="E2" s="9"/>
      <c r="F2" s="9"/>
      <c r="G2" s="9"/>
      <c r="H2" s="9"/>
      <c r="I2" s="9"/>
      <c r="J2" s="9"/>
      <c r="P2" s="10" t="s">
        <v>2</v>
      </c>
      <c r="Q2" s="11" t="str">
        <f ca="1">IF(TODAY()&lt;$P$5,"-","أسبوع " &amp; ROUNDUP((TODAY()-$P$5+1)/7,0))</f>
        <v>أسبوع 10</v>
      </c>
      <c r="Y2" s="7"/>
      <c r="Z2" s="12"/>
    </row>
    <row r="3" spans="1:129" ht="30" customHeight="1" x14ac:dyDescent="0.25">
      <c r="B3" s="13"/>
      <c r="C3" s="13"/>
      <c r="D3" s="13"/>
      <c r="E3" s="13"/>
      <c r="F3" s="13"/>
      <c r="G3" s="13"/>
      <c r="H3" s="13"/>
      <c r="I3" s="13"/>
      <c r="J3" s="13"/>
      <c r="K3" s="14"/>
      <c r="P3" s="15" t="s">
        <v>3</v>
      </c>
      <c r="Q3" s="16" t="s">
        <v>4</v>
      </c>
      <c r="R3" s="17" t="s">
        <v>5</v>
      </c>
    </row>
    <row r="4" spans="1:129" ht="18" customHeight="1" x14ac:dyDescent="0.25">
      <c r="A4" s="18"/>
      <c r="B4" s="19"/>
      <c r="C4" s="19"/>
      <c r="D4" s="19"/>
      <c r="E4" s="19"/>
      <c r="F4" s="19"/>
      <c r="G4" s="19"/>
      <c r="H4" s="19"/>
      <c r="I4" s="19"/>
      <c r="J4" s="19"/>
      <c r="L4" s="20"/>
      <c r="P4" s="138" t="s">
        <v>6</v>
      </c>
      <c r="Q4" s="138"/>
      <c r="R4" s="138"/>
      <c r="S4" s="138"/>
      <c r="T4" s="138"/>
      <c r="U4" s="138"/>
      <c r="V4" s="138"/>
      <c r="W4" s="138"/>
      <c r="X4" s="138"/>
      <c r="Y4" s="138"/>
      <c r="Z4" s="138"/>
      <c r="AA4" s="138"/>
      <c r="AB4" s="138"/>
      <c r="AC4" s="138"/>
      <c r="AD4" s="138"/>
      <c r="AE4" s="138"/>
      <c r="AF4" s="138"/>
      <c r="AG4" s="138"/>
      <c r="AH4" s="138"/>
      <c r="AI4" s="138"/>
      <c r="AJ4" s="138"/>
      <c r="AK4" s="138"/>
      <c r="AM4" s="21"/>
      <c r="AT4" s="21"/>
      <c r="BA4" s="21"/>
      <c r="BH4" s="21"/>
      <c r="BO4" s="21"/>
      <c r="BV4" s="21"/>
      <c r="CC4" s="21"/>
      <c r="CJ4" s="21"/>
      <c r="CQ4" s="21"/>
      <c r="CX4" s="21"/>
      <c r="DE4" s="21"/>
      <c r="DL4" s="21"/>
      <c r="DS4" s="21"/>
    </row>
    <row r="5" spans="1:129" ht="33.75" customHeight="1" x14ac:dyDescent="0.25">
      <c r="A5" s="139" t="s">
        <v>7</v>
      </c>
      <c r="B5" s="139" t="s">
        <v>8</v>
      </c>
      <c r="C5" s="139" t="s">
        <v>9</v>
      </c>
      <c r="D5" s="139" t="s">
        <v>10</v>
      </c>
      <c r="E5" s="139" t="s">
        <v>86</v>
      </c>
      <c r="F5" s="139" t="s">
        <v>12</v>
      </c>
      <c r="G5" s="139" t="s">
        <v>13</v>
      </c>
      <c r="H5" s="139" t="s">
        <v>14</v>
      </c>
      <c r="I5" s="139" t="s">
        <v>15</v>
      </c>
      <c r="J5" s="139" t="s">
        <v>16</v>
      </c>
      <c r="K5" s="154" t="s">
        <v>17</v>
      </c>
      <c r="L5" s="154" t="s">
        <v>18</v>
      </c>
      <c r="M5" s="154" t="s">
        <v>19</v>
      </c>
      <c r="P5" s="22">
        <v>46250</v>
      </c>
      <c r="Q5" s="22">
        <f>P5+7</f>
        <v>46257</v>
      </c>
      <c r="R5" s="22">
        <f>Q5+7</f>
        <v>46264</v>
      </c>
      <c r="S5" s="22">
        <f>R5+7</f>
        <v>46271</v>
      </c>
      <c r="T5" s="22">
        <f>S5+7</f>
        <v>46278</v>
      </c>
      <c r="U5" s="22">
        <f>T5+7</f>
        <v>46285</v>
      </c>
      <c r="V5" s="22"/>
      <c r="W5" s="22"/>
      <c r="X5" s="22">
        <f>U5+7</f>
        <v>46292</v>
      </c>
      <c r="Y5" s="22">
        <f t="shared" ref="Y5:AK5" si="0">X5+7</f>
        <v>46299</v>
      </c>
      <c r="Z5" s="22">
        <f t="shared" si="0"/>
        <v>46306</v>
      </c>
      <c r="AA5" s="22">
        <f t="shared" si="0"/>
        <v>46313</v>
      </c>
      <c r="AB5" s="22">
        <f t="shared" si="0"/>
        <v>46320</v>
      </c>
      <c r="AC5" s="22">
        <f t="shared" si="0"/>
        <v>46327</v>
      </c>
      <c r="AD5" s="22">
        <f t="shared" si="0"/>
        <v>46334</v>
      </c>
      <c r="AE5" s="22">
        <f t="shared" si="0"/>
        <v>46341</v>
      </c>
      <c r="AF5" s="22">
        <f t="shared" si="0"/>
        <v>46348</v>
      </c>
      <c r="AG5" s="22">
        <f t="shared" si="0"/>
        <v>46355</v>
      </c>
      <c r="AH5" s="22">
        <f t="shared" si="0"/>
        <v>46362</v>
      </c>
      <c r="AI5" s="22">
        <f t="shared" si="0"/>
        <v>46369</v>
      </c>
      <c r="AJ5" s="22">
        <f t="shared" si="0"/>
        <v>46376</v>
      </c>
      <c r="AK5" s="22">
        <f t="shared" si="0"/>
        <v>46383</v>
      </c>
      <c r="AL5" s="23"/>
      <c r="AM5" s="24"/>
      <c r="AN5" s="25"/>
      <c r="AO5" s="25"/>
      <c r="AP5" s="25"/>
      <c r="AQ5" s="25"/>
      <c r="AR5" s="25"/>
      <c r="AS5" s="23"/>
      <c r="AT5" s="24"/>
      <c r="AU5" s="25"/>
      <c r="AV5" s="25"/>
      <c r="AW5" s="25"/>
      <c r="AX5" s="25"/>
      <c r="AY5" s="25"/>
      <c r="AZ5" s="23"/>
      <c r="BA5" s="24"/>
      <c r="BB5" s="25"/>
      <c r="BC5" s="25"/>
      <c r="BD5" s="25"/>
      <c r="BE5" s="25"/>
      <c r="BF5" s="25"/>
      <c r="BG5" s="23"/>
      <c r="BH5" s="24"/>
      <c r="BI5" s="25"/>
      <c r="BJ5" s="25"/>
      <c r="BK5" s="25"/>
      <c r="BL5" s="25"/>
      <c r="BM5" s="25"/>
      <c r="BN5" s="23"/>
      <c r="BO5" s="24"/>
      <c r="BP5" s="25"/>
      <c r="BQ5" s="25"/>
      <c r="BR5" s="25"/>
      <c r="BS5" s="25"/>
      <c r="BT5" s="25"/>
      <c r="BU5" s="25"/>
      <c r="BV5" s="24"/>
      <c r="BW5" s="25"/>
      <c r="BX5" s="25"/>
      <c r="BY5" s="25"/>
      <c r="BZ5" s="25"/>
      <c r="CA5" s="25"/>
      <c r="CB5" s="23"/>
      <c r="CC5" s="24"/>
      <c r="CD5" s="24"/>
      <c r="CE5" s="25"/>
      <c r="CF5" s="25"/>
      <c r="CG5" s="25"/>
      <c r="CH5" s="25"/>
      <c r="CI5" s="25"/>
      <c r="CJ5" s="23"/>
      <c r="CK5" s="24"/>
      <c r="CL5" s="25"/>
      <c r="CM5" s="25"/>
      <c r="CN5" s="25"/>
      <c r="CO5" s="25"/>
      <c r="CP5" s="25"/>
      <c r="CQ5" s="23"/>
      <c r="CR5" s="24"/>
      <c r="CS5" s="24"/>
      <c r="CT5" s="25"/>
      <c r="CU5" s="25"/>
      <c r="CV5" s="25"/>
      <c r="CW5" s="25"/>
      <c r="CX5" s="25"/>
      <c r="CY5" s="23"/>
      <c r="CZ5" s="24"/>
      <c r="DA5" s="24"/>
      <c r="DB5" s="25"/>
      <c r="DC5" s="25"/>
      <c r="DD5" s="25"/>
      <c r="DE5" s="25"/>
      <c r="DF5" s="25"/>
      <c r="DG5" s="23"/>
      <c r="DH5" s="24"/>
      <c r="DI5" s="24"/>
      <c r="DJ5" s="25"/>
      <c r="DK5" s="25"/>
      <c r="DL5" s="25"/>
      <c r="DM5" s="25"/>
      <c r="DN5" s="25"/>
      <c r="DO5" s="23"/>
      <c r="DP5" s="24"/>
      <c r="DQ5" s="24"/>
      <c r="DR5" s="25"/>
      <c r="DS5" s="25"/>
      <c r="DT5" s="25"/>
      <c r="DU5" s="25"/>
      <c r="DV5" s="25"/>
      <c r="DW5" s="25"/>
      <c r="DX5" s="23"/>
      <c r="DY5" s="25"/>
    </row>
    <row r="6" spans="1:129" ht="33.75" customHeight="1" x14ac:dyDescent="0.25">
      <c r="A6" s="139"/>
      <c r="B6" s="139"/>
      <c r="C6" s="139"/>
      <c r="D6" s="139"/>
      <c r="E6" s="139"/>
      <c r="F6" s="139"/>
      <c r="G6" s="139"/>
      <c r="H6" s="139"/>
      <c r="I6" s="139"/>
      <c r="J6" s="139"/>
      <c r="K6" s="139"/>
      <c r="L6" s="139"/>
      <c r="M6" s="139"/>
      <c r="P6" s="26" t="s">
        <v>20</v>
      </c>
      <c r="Q6" s="26" t="s">
        <v>21</v>
      </c>
      <c r="R6" s="26" t="s">
        <v>22</v>
      </c>
      <c r="S6" s="26" t="s">
        <v>23</v>
      </c>
      <c r="T6" s="26" t="s">
        <v>24</v>
      </c>
      <c r="U6" s="26" t="s">
        <v>25</v>
      </c>
      <c r="V6" s="26" t="s">
        <v>26</v>
      </c>
      <c r="W6" s="26" t="s">
        <v>14</v>
      </c>
      <c r="X6" s="26" t="s">
        <v>27</v>
      </c>
      <c r="Y6" s="26" t="s">
        <v>28</v>
      </c>
      <c r="Z6" s="26" t="s">
        <v>29</v>
      </c>
      <c r="AA6" s="26" t="s">
        <v>30</v>
      </c>
      <c r="AB6" s="26" t="s">
        <v>31</v>
      </c>
      <c r="AC6" s="26" t="s">
        <v>32</v>
      </c>
      <c r="AD6" s="26" t="s">
        <v>33</v>
      </c>
      <c r="AE6" s="26" t="s">
        <v>34</v>
      </c>
      <c r="AF6" s="26" t="s">
        <v>35</v>
      </c>
      <c r="AG6" s="26" t="s">
        <v>36</v>
      </c>
      <c r="AH6" s="26" t="s">
        <v>37</v>
      </c>
      <c r="AI6" s="26" t="s">
        <v>38</v>
      </c>
      <c r="AJ6" s="26" t="s">
        <v>39</v>
      </c>
      <c r="AK6" s="26" t="s">
        <v>40</v>
      </c>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8"/>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row>
    <row r="7" spans="1:129" ht="12" customHeight="1" thickBot="1" x14ac:dyDescent="0.3">
      <c r="A7" s="92" t="s">
        <v>41</v>
      </c>
      <c r="B7" s="93"/>
      <c r="C7" s="93"/>
      <c r="D7" s="93"/>
      <c r="E7" s="93"/>
      <c r="F7" s="93"/>
      <c r="G7" s="93"/>
      <c r="H7" s="93"/>
      <c r="I7" s="93"/>
      <c r="J7" s="93"/>
      <c r="K7" s="93"/>
      <c r="L7" s="93"/>
      <c r="M7" s="93"/>
      <c r="O7" t="str">
        <f t="shared" ref="O7:O32" si="1">IF(OR(ISBLANK(task_start),ISBLANK(task_end)),"",task_end-task_start+1)</f>
        <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129" s="43" customFormat="1" ht="36.75" customHeight="1" thickBot="1" x14ac:dyDescent="0.3">
      <c r="A8" s="147" t="s">
        <v>42</v>
      </c>
      <c r="B8" s="31" t="s">
        <v>43</v>
      </c>
      <c r="C8" s="32" t="s">
        <v>44</v>
      </c>
      <c r="D8" s="33">
        <v>10500</v>
      </c>
      <c r="E8" s="34">
        <v>10500</v>
      </c>
      <c r="F8" s="35">
        <v>10500</v>
      </c>
      <c r="G8" s="32"/>
      <c r="H8" s="35">
        <f>F8-E8</f>
        <v>0</v>
      </c>
      <c r="I8" s="35"/>
      <c r="J8" s="94">
        <f t="shared" ref="J8:J42" si="2">D8-F8</f>
        <v>0</v>
      </c>
      <c r="K8" s="95">
        <f t="shared" ref="K8:K42" si="3">F8/D8</f>
        <v>1</v>
      </c>
      <c r="L8" s="96">
        <v>46288</v>
      </c>
      <c r="M8" s="97">
        <v>46288</v>
      </c>
      <c r="N8" s="40"/>
      <c r="O8" s="41">
        <f t="shared" si="1"/>
        <v>1</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129" s="43" customFormat="1" ht="36.75" customHeight="1" thickBot="1" x14ac:dyDescent="0.3">
      <c r="A9" s="147"/>
      <c r="B9" s="44" t="s">
        <v>45</v>
      </c>
      <c r="C9" s="45" t="s">
        <v>44</v>
      </c>
      <c r="D9" s="46">
        <v>2800</v>
      </c>
      <c r="E9" s="47">
        <f>0.8*D9</f>
        <v>2240</v>
      </c>
      <c r="F9" s="48">
        <v>1800</v>
      </c>
      <c r="G9" s="45"/>
      <c r="H9" s="48">
        <f t="shared" ref="H9:H42" si="4">F9-E9</f>
        <v>-440</v>
      </c>
      <c r="I9" s="48"/>
      <c r="J9" s="98">
        <f t="shared" si="2"/>
        <v>1000</v>
      </c>
      <c r="K9" s="95">
        <f t="shared" si="3"/>
        <v>0.6428571428571429</v>
      </c>
      <c r="L9" s="96">
        <v>46278</v>
      </c>
      <c r="M9" s="96">
        <v>46282</v>
      </c>
      <c r="N9" s="40"/>
      <c r="O9" s="41">
        <f t="shared" si="1"/>
        <v>5</v>
      </c>
      <c r="P9" s="53"/>
      <c r="Q9" s="53"/>
      <c r="R9" s="53"/>
      <c r="S9" s="53"/>
      <c r="T9" s="53">
        <v>1000</v>
      </c>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row>
    <row r="10" spans="1:129" s="43" customFormat="1" ht="36.75" customHeight="1" thickBot="1" x14ac:dyDescent="0.3">
      <c r="A10" s="147" t="s">
        <v>46</v>
      </c>
      <c r="B10" s="54" t="s">
        <v>47</v>
      </c>
      <c r="C10" s="55" t="s">
        <v>48</v>
      </c>
      <c r="D10" s="56">
        <v>170</v>
      </c>
      <c r="E10" s="57">
        <f t="shared" ref="E10:E42" ca="1" si="5">SUMPRODUCT(ISNUMBER($P$5:$AK$5)*($P$5:$AK$5&lt;=TODAY())*(P10:AK10))</f>
        <v>170</v>
      </c>
      <c r="F10" s="58">
        <v>0</v>
      </c>
      <c r="G10" s="55"/>
      <c r="H10" s="58">
        <f t="shared" ca="1" si="4"/>
        <v>-170</v>
      </c>
      <c r="I10" s="58"/>
      <c r="J10" s="99">
        <f t="shared" si="2"/>
        <v>170</v>
      </c>
      <c r="K10" s="95">
        <f t="shared" si="3"/>
        <v>0</v>
      </c>
      <c r="L10" s="96">
        <v>46287</v>
      </c>
      <c r="M10" s="96">
        <v>46287.712513483799</v>
      </c>
      <c r="N10" s="40"/>
      <c r="O10" s="41">
        <f t="shared" si="1"/>
        <v>1.7125134837988298</v>
      </c>
      <c r="P10" s="53"/>
      <c r="Q10" s="53"/>
      <c r="R10" s="53"/>
      <c r="S10" s="53"/>
      <c r="T10" s="53"/>
      <c r="U10" s="53">
        <v>170</v>
      </c>
      <c r="V10" s="53"/>
      <c r="W10" s="53"/>
      <c r="X10" s="53"/>
      <c r="Y10" s="53"/>
      <c r="Z10" s="53"/>
      <c r="AA10" s="53"/>
      <c r="AB10" s="53"/>
      <c r="AC10" s="53"/>
      <c r="AD10" s="63"/>
      <c r="AE10" s="6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row>
    <row r="11" spans="1:129" s="43" customFormat="1" ht="36.75" customHeight="1" thickBot="1" x14ac:dyDescent="0.3">
      <c r="A11" s="147"/>
      <c r="B11" s="64" t="s">
        <v>49</v>
      </c>
      <c r="C11" s="65" t="s">
        <v>48</v>
      </c>
      <c r="D11" s="66">
        <v>290</v>
      </c>
      <c r="E11" s="67">
        <f t="shared" ca="1" si="5"/>
        <v>290</v>
      </c>
      <c r="F11" s="68">
        <v>0</v>
      </c>
      <c r="G11" s="65"/>
      <c r="H11" s="68">
        <f t="shared" ca="1" si="4"/>
        <v>-290</v>
      </c>
      <c r="I11" s="68"/>
      <c r="J11" s="100">
        <f t="shared" si="2"/>
        <v>290</v>
      </c>
      <c r="K11" s="95">
        <f t="shared" si="3"/>
        <v>0</v>
      </c>
      <c r="L11" s="96">
        <v>46288</v>
      </c>
      <c r="M11" s="96">
        <v>46290.612511574102</v>
      </c>
      <c r="N11" s="40"/>
      <c r="O11" s="41">
        <f t="shared" si="1"/>
        <v>3.6125115741015179</v>
      </c>
      <c r="P11" s="53"/>
      <c r="Q11" s="53"/>
      <c r="R11" s="53"/>
      <c r="S11" s="53"/>
      <c r="T11" s="53"/>
      <c r="U11" s="53">
        <v>290</v>
      </c>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row>
    <row r="12" spans="1:129" s="43" customFormat="1" ht="36.75" customHeight="1" thickBot="1" x14ac:dyDescent="0.3">
      <c r="A12" s="147"/>
      <c r="B12" s="64" t="s">
        <v>50</v>
      </c>
      <c r="C12" s="65" t="s">
        <v>51</v>
      </c>
      <c r="D12" s="66">
        <v>6</v>
      </c>
      <c r="E12" s="67">
        <f t="shared" ca="1" si="5"/>
        <v>6</v>
      </c>
      <c r="F12" s="68">
        <v>0</v>
      </c>
      <c r="G12" s="65"/>
      <c r="H12" s="68">
        <f t="shared" ca="1" si="4"/>
        <v>-6</v>
      </c>
      <c r="I12" s="68"/>
      <c r="J12" s="100">
        <f t="shared" si="2"/>
        <v>6</v>
      </c>
      <c r="K12" s="95">
        <f t="shared" si="3"/>
        <v>0</v>
      </c>
      <c r="L12" s="96">
        <v>46290.7125115741</v>
      </c>
      <c r="M12" s="96">
        <v>46299</v>
      </c>
      <c r="N12" s="40"/>
      <c r="O12" s="41">
        <f t="shared" si="1"/>
        <v>9.2874884258999373</v>
      </c>
      <c r="P12" s="53"/>
      <c r="Q12" s="53"/>
      <c r="R12" s="53"/>
      <c r="S12" s="53"/>
      <c r="T12" s="53"/>
      <c r="U12" s="53">
        <v>2</v>
      </c>
      <c r="V12" s="53"/>
      <c r="W12" s="53"/>
      <c r="X12" s="53">
        <v>2</v>
      </c>
      <c r="Y12" s="53">
        <v>2</v>
      </c>
      <c r="Z12" s="53"/>
      <c r="AA12" s="53"/>
      <c r="AB12" s="53"/>
      <c r="AC12" s="53"/>
      <c r="AD12" s="53"/>
      <c r="AE12" s="53"/>
      <c r="AF12" s="53"/>
      <c r="AG12" s="53"/>
      <c r="AH12" s="6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row>
    <row r="13" spans="1:129" s="43" customFormat="1" ht="36.75" customHeight="1" thickBot="1" x14ac:dyDescent="0.3">
      <c r="A13" s="147"/>
      <c r="B13" s="64" t="s">
        <v>52</v>
      </c>
      <c r="C13" s="65" t="s">
        <v>51</v>
      </c>
      <c r="D13" s="66">
        <v>6</v>
      </c>
      <c r="E13" s="67">
        <f t="shared" ca="1" si="5"/>
        <v>0</v>
      </c>
      <c r="F13" s="68">
        <v>0</v>
      </c>
      <c r="G13" s="65"/>
      <c r="H13" s="68">
        <f t="shared" ca="1" si="4"/>
        <v>0</v>
      </c>
      <c r="I13" s="68"/>
      <c r="J13" s="100">
        <f t="shared" si="2"/>
        <v>6</v>
      </c>
      <c r="K13" s="95">
        <f t="shared" si="3"/>
        <v>0</v>
      </c>
      <c r="L13" s="96">
        <v>46352</v>
      </c>
      <c r="M13" s="96">
        <f>L13+5</f>
        <v>46357</v>
      </c>
      <c r="N13" s="40"/>
      <c r="O13" s="41">
        <f t="shared" si="1"/>
        <v>6</v>
      </c>
      <c r="P13" s="53"/>
      <c r="Q13" s="53"/>
      <c r="R13" s="53"/>
      <c r="S13" s="53"/>
      <c r="T13" s="53"/>
      <c r="U13" s="53"/>
      <c r="V13" s="53"/>
      <c r="W13" s="53"/>
      <c r="X13" s="53"/>
      <c r="Y13" s="53"/>
      <c r="Z13" s="53"/>
      <c r="AA13" s="53"/>
      <c r="AB13" s="53"/>
      <c r="AC13" s="53"/>
      <c r="AD13" s="53"/>
      <c r="AE13" s="53"/>
      <c r="AF13" s="53">
        <v>3</v>
      </c>
      <c r="AG13" s="53">
        <v>3</v>
      </c>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row>
    <row r="14" spans="1:129" s="43" customFormat="1" ht="36.75" customHeight="1" thickBot="1" x14ac:dyDescent="0.3">
      <c r="A14" s="147"/>
      <c r="B14" s="64" t="s">
        <v>53</v>
      </c>
      <c r="C14" s="65" t="s">
        <v>51</v>
      </c>
      <c r="D14" s="66">
        <v>6</v>
      </c>
      <c r="E14" s="67">
        <f t="shared" ca="1" si="5"/>
        <v>0</v>
      </c>
      <c r="F14" s="68">
        <v>0</v>
      </c>
      <c r="G14" s="65"/>
      <c r="H14" s="68">
        <f t="shared" ca="1" si="4"/>
        <v>0</v>
      </c>
      <c r="I14" s="68"/>
      <c r="J14" s="100">
        <f t="shared" si="2"/>
        <v>6</v>
      </c>
      <c r="K14" s="95">
        <f t="shared" si="3"/>
        <v>0</v>
      </c>
      <c r="L14" s="96">
        <v>46353</v>
      </c>
      <c r="M14" s="96">
        <f>L14+5</f>
        <v>46358</v>
      </c>
      <c r="N14" s="40"/>
      <c r="O14" s="41">
        <f t="shared" si="1"/>
        <v>6</v>
      </c>
      <c r="AF14" s="53">
        <v>3</v>
      </c>
      <c r="AG14" s="53">
        <v>3</v>
      </c>
    </row>
    <row r="15" spans="1:129" s="43" customFormat="1" ht="36.75" customHeight="1" thickBot="1" x14ac:dyDescent="0.3">
      <c r="A15" s="147"/>
      <c r="B15" s="64" t="s">
        <v>54</v>
      </c>
      <c r="C15" s="65" t="s">
        <v>51</v>
      </c>
      <c r="D15" s="66">
        <v>6</v>
      </c>
      <c r="E15" s="67">
        <f t="shared" ca="1" si="5"/>
        <v>0</v>
      </c>
      <c r="F15" s="68">
        <v>0</v>
      </c>
      <c r="G15" s="65"/>
      <c r="H15" s="68">
        <f t="shared" ca="1" si="4"/>
        <v>0</v>
      </c>
      <c r="I15" s="68"/>
      <c r="J15" s="100">
        <f t="shared" si="2"/>
        <v>6</v>
      </c>
      <c r="K15" s="95">
        <f t="shared" si="3"/>
        <v>0</v>
      </c>
      <c r="L15" s="96">
        <v>46354</v>
      </c>
      <c r="M15" s="96">
        <f>L15+5</f>
        <v>46359</v>
      </c>
      <c r="N15" s="40"/>
      <c r="O15" s="41">
        <f t="shared" si="1"/>
        <v>6</v>
      </c>
      <c r="P15" s="53"/>
      <c r="Q15" s="53"/>
      <c r="R15" s="53"/>
      <c r="S15" s="53"/>
      <c r="T15" s="53"/>
      <c r="U15" s="53"/>
      <c r="V15" s="53"/>
      <c r="W15" s="53"/>
      <c r="X15" s="53"/>
      <c r="Y15" s="53"/>
      <c r="Z15" s="53"/>
      <c r="AA15" s="53"/>
      <c r="AB15" s="53"/>
      <c r="AC15" s="53"/>
      <c r="AD15" s="53"/>
      <c r="AE15" s="53"/>
      <c r="AF15" s="53">
        <v>3</v>
      </c>
      <c r="AG15" s="53">
        <v>3</v>
      </c>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row>
    <row r="16" spans="1:129" s="43" customFormat="1" ht="36.75" customHeight="1" thickBot="1" x14ac:dyDescent="0.3">
      <c r="A16" s="147"/>
      <c r="B16" s="64" t="s">
        <v>55</v>
      </c>
      <c r="C16" s="65" t="s">
        <v>51</v>
      </c>
      <c r="D16" s="66">
        <v>17</v>
      </c>
      <c r="E16" s="67">
        <f t="shared" ca="1" si="5"/>
        <v>17</v>
      </c>
      <c r="F16" s="68">
        <v>0</v>
      </c>
      <c r="G16" s="65"/>
      <c r="H16" s="68">
        <f t="shared" ca="1" si="4"/>
        <v>-17</v>
      </c>
      <c r="I16" s="68"/>
      <c r="J16" s="100">
        <f t="shared" si="2"/>
        <v>17</v>
      </c>
      <c r="K16" s="95">
        <f t="shared" si="3"/>
        <v>0</v>
      </c>
      <c r="L16" s="96">
        <v>46294.212513483799</v>
      </c>
      <c r="M16" s="96">
        <v>46295.629180150499</v>
      </c>
      <c r="N16" s="40"/>
      <c r="O16" s="41">
        <f t="shared" si="1"/>
        <v>2.4166666667006211</v>
      </c>
      <c r="P16" s="53"/>
      <c r="Q16" s="53"/>
      <c r="R16" s="53"/>
      <c r="S16" s="53"/>
      <c r="T16" s="53"/>
      <c r="U16" s="53"/>
      <c r="V16" s="53"/>
      <c r="W16" s="53"/>
      <c r="X16" s="53">
        <v>17</v>
      </c>
      <c r="Y16" s="53"/>
      <c r="Z16" s="53"/>
      <c r="AA16" s="53"/>
      <c r="AB16" s="53"/>
      <c r="AC16" s="53"/>
      <c r="AD16" s="63"/>
      <c r="AE16" s="6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row>
    <row r="17" spans="1:73" s="43" customFormat="1" ht="36.75" customHeight="1" thickBot="1" x14ac:dyDescent="0.3">
      <c r="A17" s="147"/>
      <c r="B17" s="64" t="s">
        <v>56</v>
      </c>
      <c r="C17" s="65" t="s">
        <v>51</v>
      </c>
      <c r="D17" s="46">
        <v>17</v>
      </c>
      <c r="E17" s="47">
        <f t="shared" ca="1" si="5"/>
        <v>0</v>
      </c>
      <c r="F17" s="82">
        <v>0</v>
      </c>
      <c r="G17" s="65"/>
      <c r="H17" s="68">
        <f t="shared" ca="1" si="4"/>
        <v>0</v>
      </c>
      <c r="I17" s="68"/>
      <c r="J17" s="101">
        <f t="shared" si="2"/>
        <v>17</v>
      </c>
      <c r="K17" s="95">
        <f t="shared" si="3"/>
        <v>0</v>
      </c>
      <c r="L17" s="96">
        <v>46354</v>
      </c>
      <c r="M17" s="96">
        <f>L17+5</f>
        <v>46359</v>
      </c>
      <c r="N17" s="40"/>
      <c r="O17" s="41">
        <f t="shared" si="1"/>
        <v>6</v>
      </c>
      <c r="P17" s="53"/>
      <c r="Q17" s="53"/>
      <c r="R17" s="53"/>
      <c r="S17" s="53"/>
      <c r="T17" s="53"/>
      <c r="U17" s="53"/>
      <c r="V17" s="53"/>
      <c r="W17" s="53"/>
      <c r="X17" s="53"/>
      <c r="Y17" s="53"/>
      <c r="Z17" s="53"/>
      <c r="AA17" s="53"/>
      <c r="AB17" s="53"/>
      <c r="AC17" s="53"/>
      <c r="AD17" s="53"/>
      <c r="AE17" s="53"/>
      <c r="AF17" s="53">
        <v>10</v>
      </c>
      <c r="AG17" s="53">
        <v>7</v>
      </c>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row>
    <row r="18" spans="1:73" s="43" customFormat="1" ht="36.75" customHeight="1" thickBot="1" x14ac:dyDescent="0.3">
      <c r="A18" s="147" t="s">
        <v>57</v>
      </c>
      <c r="B18" s="75" t="s">
        <v>47</v>
      </c>
      <c r="C18" s="76" t="s">
        <v>48</v>
      </c>
      <c r="D18" s="33">
        <v>93</v>
      </c>
      <c r="E18" s="34">
        <f t="shared" ca="1" si="5"/>
        <v>93</v>
      </c>
      <c r="F18" s="77">
        <v>0</v>
      </c>
      <c r="G18" s="76"/>
      <c r="H18" s="77">
        <f t="shared" ca="1" si="4"/>
        <v>-93</v>
      </c>
      <c r="I18" s="77"/>
      <c r="J18" s="102">
        <f t="shared" si="2"/>
        <v>93</v>
      </c>
      <c r="K18" s="95">
        <f t="shared" si="3"/>
        <v>0</v>
      </c>
      <c r="L18" s="96">
        <v>46309.212513483799</v>
      </c>
      <c r="M18" s="96">
        <v>46310.375013483797</v>
      </c>
      <c r="N18" s="40"/>
      <c r="O18" s="41">
        <f t="shared" si="1"/>
        <v>2.1624999999985448</v>
      </c>
      <c r="Q18" s="53"/>
      <c r="R18" s="53"/>
      <c r="S18" s="53"/>
      <c r="T18" s="53"/>
      <c r="U18" s="53"/>
      <c r="V18" s="53"/>
      <c r="W18" s="53"/>
      <c r="X18" s="53"/>
      <c r="Y18" s="53"/>
      <c r="Z18" s="53">
        <v>93</v>
      </c>
      <c r="AA18" s="53"/>
      <c r="AB18" s="53"/>
      <c r="AC18" s="53"/>
      <c r="AD18" s="53"/>
      <c r="AE18" s="53"/>
      <c r="AF18" s="53"/>
      <c r="AG18" s="53"/>
      <c r="AH18" s="6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row>
    <row r="19" spans="1:73" s="43" customFormat="1" ht="36.75" customHeight="1" thickBot="1" x14ac:dyDescent="0.3">
      <c r="A19" s="147"/>
      <c r="B19" s="64" t="s">
        <v>87</v>
      </c>
      <c r="C19" s="65" t="s">
        <v>48</v>
      </c>
      <c r="D19" s="66">
        <v>93</v>
      </c>
      <c r="E19" s="67">
        <f t="shared" ca="1" si="5"/>
        <v>93</v>
      </c>
      <c r="F19" s="68">
        <v>0</v>
      </c>
      <c r="G19" s="65"/>
      <c r="H19" s="68">
        <f t="shared" ca="1" si="4"/>
        <v>-93</v>
      </c>
      <c r="I19" s="68"/>
      <c r="J19" s="100">
        <f t="shared" si="2"/>
        <v>93</v>
      </c>
      <c r="K19" s="95">
        <f t="shared" si="3"/>
        <v>0</v>
      </c>
      <c r="L19" s="96">
        <v>46311.375013483797</v>
      </c>
      <c r="M19" s="96">
        <v>46311.840013483801</v>
      </c>
      <c r="N19" s="40"/>
      <c r="O19" s="41">
        <f t="shared" si="1"/>
        <v>1.4650000000037835</v>
      </c>
      <c r="P19" s="53"/>
      <c r="Q19" s="53"/>
      <c r="R19" s="53"/>
      <c r="S19" s="53"/>
      <c r="T19" s="53"/>
      <c r="U19" s="53"/>
      <c r="V19" s="53"/>
      <c r="W19" s="53"/>
      <c r="X19" s="53"/>
      <c r="Y19" s="53"/>
      <c r="Z19" s="53">
        <v>93</v>
      </c>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row>
    <row r="20" spans="1:73" s="43" customFormat="1" ht="36.75" customHeight="1" thickBot="1" x14ac:dyDescent="0.3">
      <c r="A20" s="147"/>
      <c r="B20" s="64" t="s">
        <v>50</v>
      </c>
      <c r="C20" s="65" t="s">
        <v>51</v>
      </c>
      <c r="D20" s="66">
        <v>1</v>
      </c>
      <c r="E20" s="67">
        <f t="shared" ca="1" si="5"/>
        <v>1</v>
      </c>
      <c r="F20" s="68">
        <v>0</v>
      </c>
      <c r="G20" s="65"/>
      <c r="H20" s="68">
        <f t="shared" ca="1" si="4"/>
        <v>-1</v>
      </c>
      <c r="I20" s="68"/>
      <c r="J20" s="100">
        <f t="shared" si="2"/>
        <v>1</v>
      </c>
      <c r="K20" s="95">
        <f t="shared" si="3"/>
        <v>0</v>
      </c>
      <c r="L20" s="96">
        <v>46310.375013483797</v>
      </c>
      <c r="M20" s="96">
        <v>46311.375013483797</v>
      </c>
      <c r="N20" s="40"/>
      <c r="O20" s="41">
        <f t="shared" si="1"/>
        <v>2</v>
      </c>
      <c r="P20" s="79"/>
      <c r="Q20" s="79"/>
      <c r="R20" s="79"/>
      <c r="S20" s="79"/>
      <c r="T20" s="79"/>
      <c r="U20" s="79"/>
      <c r="V20" s="79"/>
      <c r="W20" s="79"/>
      <c r="X20" s="79"/>
      <c r="Y20" s="79"/>
      <c r="Z20" s="79">
        <v>1</v>
      </c>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row>
    <row r="21" spans="1:73" s="43" customFormat="1" ht="36.75" customHeight="1" thickBot="1" x14ac:dyDescent="0.3">
      <c r="A21" s="147"/>
      <c r="B21" s="64" t="s">
        <v>59</v>
      </c>
      <c r="C21" s="65" t="s">
        <v>51</v>
      </c>
      <c r="D21" s="66">
        <v>1</v>
      </c>
      <c r="E21" s="67">
        <f t="shared" ca="1" si="5"/>
        <v>0</v>
      </c>
      <c r="F21" s="68">
        <v>0</v>
      </c>
      <c r="G21" s="65"/>
      <c r="H21" s="68">
        <f t="shared" ca="1" si="4"/>
        <v>0</v>
      </c>
      <c r="I21" s="68"/>
      <c r="J21" s="100">
        <f t="shared" si="2"/>
        <v>1</v>
      </c>
      <c r="K21" s="95">
        <f t="shared" si="3"/>
        <v>0</v>
      </c>
      <c r="L21" s="96">
        <v>46352</v>
      </c>
      <c r="M21" s="96">
        <f>L21+2</f>
        <v>46354</v>
      </c>
      <c r="N21" s="40"/>
      <c r="O21" s="41">
        <f t="shared" si="1"/>
        <v>3</v>
      </c>
      <c r="P21" s="53"/>
      <c r="Q21" s="53"/>
      <c r="R21" s="53"/>
      <c r="S21" s="53"/>
      <c r="T21" s="53"/>
      <c r="U21" s="53"/>
      <c r="V21" s="53"/>
      <c r="W21" s="53"/>
      <c r="X21" s="53"/>
      <c r="Y21" s="53"/>
      <c r="Z21" s="53"/>
      <c r="AA21" s="53"/>
      <c r="AB21" s="53"/>
      <c r="AC21" s="53"/>
      <c r="AD21" s="53"/>
      <c r="AE21" s="53"/>
      <c r="AF21" s="53">
        <v>1</v>
      </c>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row>
    <row r="22" spans="1:73" s="43" customFormat="1" ht="36.75" customHeight="1" thickBot="1" x14ac:dyDescent="0.3">
      <c r="A22" s="147"/>
      <c r="B22" s="80" t="s">
        <v>60</v>
      </c>
      <c r="C22" s="81" t="s">
        <v>51</v>
      </c>
      <c r="D22" s="46">
        <v>1</v>
      </c>
      <c r="E22" s="47">
        <f t="shared" ca="1" si="5"/>
        <v>0</v>
      </c>
      <c r="F22" s="82">
        <v>0</v>
      </c>
      <c r="G22" s="81"/>
      <c r="H22" s="82">
        <f t="shared" ca="1" si="4"/>
        <v>0</v>
      </c>
      <c r="I22" s="82"/>
      <c r="J22" s="101">
        <f t="shared" si="2"/>
        <v>1</v>
      </c>
      <c r="K22" s="95">
        <f t="shared" si="3"/>
        <v>0</v>
      </c>
      <c r="L22" s="96">
        <v>46352</v>
      </c>
      <c r="M22" s="96">
        <f>L22+2</f>
        <v>46354</v>
      </c>
      <c r="N22" s="40"/>
      <c r="O22" s="41">
        <f t="shared" si="1"/>
        <v>3</v>
      </c>
      <c r="P22" s="53"/>
      <c r="Q22" s="53"/>
      <c r="R22" s="53"/>
      <c r="S22" s="53"/>
      <c r="T22" s="53"/>
      <c r="U22" s="53"/>
      <c r="V22" s="53"/>
      <c r="W22" s="53"/>
      <c r="X22" s="53"/>
      <c r="Y22" s="53"/>
      <c r="Z22" s="53"/>
      <c r="AA22" s="53"/>
      <c r="AB22" s="53"/>
      <c r="AC22" s="53"/>
      <c r="AD22" s="53"/>
      <c r="AE22" s="53"/>
      <c r="AF22" s="53">
        <v>1</v>
      </c>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row>
    <row r="23" spans="1:73" s="43" customFormat="1" ht="36.75" customHeight="1" thickBot="1" x14ac:dyDescent="0.3">
      <c r="A23" s="147" t="s">
        <v>61</v>
      </c>
      <c r="B23" s="75" t="s">
        <v>62</v>
      </c>
      <c r="C23" s="76" t="s">
        <v>48</v>
      </c>
      <c r="D23" s="33">
        <v>150</v>
      </c>
      <c r="E23" s="34">
        <f t="shared" ca="1" si="5"/>
        <v>150</v>
      </c>
      <c r="F23" s="77">
        <v>0</v>
      </c>
      <c r="G23" s="76"/>
      <c r="H23" s="77">
        <f t="shared" ca="1" si="4"/>
        <v>-150</v>
      </c>
      <c r="I23" s="77"/>
      <c r="J23" s="102">
        <f t="shared" si="2"/>
        <v>150</v>
      </c>
      <c r="K23" s="95">
        <f t="shared" si="3"/>
        <v>0</v>
      </c>
      <c r="L23" s="96">
        <v>46310.375013483797</v>
      </c>
      <c r="M23" s="96">
        <v>46311.625013483797</v>
      </c>
      <c r="N23" s="40"/>
      <c r="O23" s="41">
        <f t="shared" si="1"/>
        <v>2.25</v>
      </c>
      <c r="P23" s="53"/>
      <c r="Q23" s="53"/>
      <c r="R23" s="53"/>
      <c r="S23" s="53"/>
      <c r="T23" s="53"/>
      <c r="U23" s="53"/>
      <c r="V23" s="53"/>
      <c r="W23" s="53"/>
      <c r="X23" s="53"/>
      <c r="Y23" s="53"/>
      <c r="Z23" s="53">
        <v>150</v>
      </c>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row>
    <row r="24" spans="1:73" s="43" customFormat="1" ht="36.75" customHeight="1" thickBot="1" x14ac:dyDescent="0.3">
      <c r="A24" s="147"/>
      <c r="B24" s="64" t="s">
        <v>63</v>
      </c>
      <c r="C24" s="65" t="s">
        <v>51</v>
      </c>
      <c r="D24" s="66">
        <v>1</v>
      </c>
      <c r="E24" s="67">
        <f t="shared" ca="1" si="5"/>
        <v>1</v>
      </c>
      <c r="F24" s="68">
        <v>0</v>
      </c>
      <c r="G24" s="65"/>
      <c r="H24" s="68">
        <f t="shared" ca="1" si="4"/>
        <v>-1</v>
      </c>
      <c r="I24" s="68"/>
      <c r="J24" s="100">
        <f t="shared" si="2"/>
        <v>1</v>
      </c>
      <c r="K24" s="95">
        <f t="shared" si="3"/>
        <v>0</v>
      </c>
      <c r="L24" s="96">
        <v>46311.625013483797</v>
      </c>
      <c r="M24" s="96">
        <v>46311.958346817097</v>
      </c>
      <c r="N24" s="40"/>
      <c r="O24" s="41">
        <f t="shared" si="1"/>
        <v>1.3333333332993789</v>
      </c>
      <c r="P24" s="53"/>
      <c r="Q24" s="53"/>
      <c r="R24" s="53"/>
      <c r="S24" s="53"/>
      <c r="T24" s="53"/>
      <c r="U24" s="53"/>
      <c r="V24" s="53"/>
      <c r="W24" s="53"/>
      <c r="X24" s="53"/>
      <c r="Y24" s="53"/>
      <c r="Z24" s="53">
        <v>1</v>
      </c>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3" s="43" customFormat="1" ht="36.75" customHeight="1" thickBot="1" x14ac:dyDescent="0.3">
      <c r="A25" s="147"/>
      <c r="B25" s="64" t="s">
        <v>65</v>
      </c>
      <c r="C25" s="65" t="s">
        <v>51</v>
      </c>
      <c r="D25" s="66">
        <v>1</v>
      </c>
      <c r="E25" s="67">
        <f t="shared" ca="1" si="5"/>
        <v>1</v>
      </c>
      <c r="F25" s="68">
        <v>0</v>
      </c>
      <c r="G25" s="65"/>
      <c r="H25" s="68">
        <f t="shared" ca="1" si="4"/>
        <v>-1</v>
      </c>
      <c r="I25" s="68"/>
      <c r="J25" s="100">
        <f t="shared" si="2"/>
        <v>1</v>
      </c>
      <c r="K25" s="95">
        <f t="shared" si="3"/>
        <v>0</v>
      </c>
      <c r="L25" s="96">
        <v>46311.958346817097</v>
      </c>
      <c r="M25" s="96">
        <v>46312.458346817097</v>
      </c>
      <c r="N25" s="40"/>
      <c r="O25" s="41">
        <f t="shared" si="1"/>
        <v>1.5</v>
      </c>
      <c r="P25" s="53"/>
      <c r="Q25" s="53"/>
      <c r="R25" s="53"/>
      <c r="S25" s="53"/>
      <c r="T25" s="53"/>
      <c r="U25" s="53"/>
      <c r="V25" s="53"/>
      <c r="W25" s="53"/>
      <c r="X25" s="53"/>
      <c r="Y25" s="53"/>
      <c r="Z25" s="53">
        <v>1</v>
      </c>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row>
    <row r="26" spans="1:73" s="43" customFormat="1" ht="36.75" customHeight="1" thickBot="1" x14ac:dyDescent="0.3">
      <c r="A26" s="147"/>
      <c r="B26" s="80" t="s">
        <v>66</v>
      </c>
      <c r="C26" s="81" t="s">
        <v>48</v>
      </c>
      <c r="D26" s="46">
        <v>150</v>
      </c>
      <c r="E26" s="47">
        <f t="shared" ca="1" si="5"/>
        <v>150</v>
      </c>
      <c r="F26" s="82">
        <v>0</v>
      </c>
      <c r="G26" s="81"/>
      <c r="H26" s="82">
        <f t="shared" ca="1" si="4"/>
        <v>-150</v>
      </c>
      <c r="I26" s="82"/>
      <c r="J26" s="101">
        <f t="shared" si="2"/>
        <v>150</v>
      </c>
      <c r="K26" s="95">
        <f t="shared" si="3"/>
        <v>0</v>
      </c>
      <c r="L26" s="96">
        <v>46311.958346817097</v>
      </c>
      <c r="M26" s="97">
        <v>46313.458346817097</v>
      </c>
      <c r="N26" s="40"/>
      <c r="O26" s="41">
        <f t="shared" si="1"/>
        <v>2.5</v>
      </c>
      <c r="P26" s="84"/>
      <c r="Q26" s="84"/>
      <c r="R26" s="84"/>
      <c r="S26" s="84"/>
      <c r="T26" s="84"/>
      <c r="U26" s="84"/>
      <c r="V26" s="84"/>
      <c r="W26" s="84"/>
      <c r="X26" s="84"/>
      <c r="Y26" s="84"/>
      <c r="Z26" s="84">
        <v>100</v>
      </c>
      <c r="AA26" s="84">
        <v>50</v>
      </c>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row>
    <row r="27" spans="1:73" s="43" customFormat="1" ht="36.75" customHeight="1" thickBot="1" x14ac:dyDescent="0.3">
      <c r="A27" s="147" t="s">
        <v>67</v>
      </c>
      <c r="B27" s="75" t="s">
        <v>62</v>
      </c>
      <c r="C27" s="76" t="s">
        <v>48</v>
      </c>
      <c r="D27" s="56">
        <v>180</v>
      </c>
      <c r="E27" s="57">
        <f t="shared" ca="1" si="5"/>
        <v>100</v>
      </c>
      <c r="F27" s="58">
        <v>0</v>
      </c>
      <c r="G27" s="76"/>
      <c r="H27" s="58">
        <f t="shared" ca="1" si="4"/>
        <v>-100</v>
      </c>
      <c r="I27" s="58"/>
      <c r="J27" s="99">
        <f t="shared" si="2"/>
        <v>180</v>
      </c>
      <c r="K27" s="95">
        <f t="shared" si="3"/>
        <v>0</v>
      </c>
      <c r="L27" s="96">
        <v>46315.375011574099</v>
      </c>
      <c r="M27" s="96">
        <v>46320.875011574099</v>
      </c>
      <c r="N27" s="40"/>
      <c r="O27" s="41">
        <f t="shared" si="1"/>
        <v>6.5</v>
      </c>
      <c r="P27" s="53"/>
      <c r="Q27" s="53"/>
      <c r="R27" s="53"/>
      <c r="S27" s="53"/>
      <c r="T27" s="53"/>
      <c r="U27" s="53"/>
      <c r="V27" s="53"/>
      <c r="W27" s="53"/>
      <c r="X27" s="53"/>
      <c r="Y27" s="53"/>
      <c r="Z27" s="53"/>
      <c r="AA27" s="53">
        <v>100</v>
      </c>
      <c r="AB27" s="53">
        <v>80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row>
    <row r="28" spans="1:73" s="43" customFormat="1" ht="36.75" customHeight="1" thickBot="1" x14ac:dyDescent="0.3">
      <c r="A28" s="147"/>
      <c r="B28" s="64" t="s">
        <v>63</v>
      </c>
      <c r="C28" s="65" t="s">
        <v>51</v>
      </c>
      <c r="D28" s="66">
        <v>1</v>
      </c>
      <c r="E28" s="67">
        <f t="shared" ca="1" si="5"/>
        <v>0</v>
      </c>
      <c r="F28" s="68">
        <v>0</v>
      </c>
      <c r="G28" s="65"/>
      <c r="H28" s="68">
        <f t="shared" ca="1" si="4"/>
        <v>0</v>
      </c>
      <c r="I28" s="68"/>
      <c r="J28" s="100">
        <f t="shared" si="2"/>
        <v>1</v>
      </c>
      <c r="K28" s="95">
        <f t="shared" si="3"/>
        <v>0</v>
      </c>
      <c r="L28" s="96">
        <v>46320.375011574099</v>
      </c>
      <c r="M28" s="96">
        <v>46320.875011574099</v>
      </c>
      <c r="N28" s="40"/>
      <c r="O28" s="41">
        <f t="shared" si="1"/>
        <v>1.5</v>
      </c>
      <c r="P28" s="53"/>
      <c r="Q28" s="53"/>
      <c r="R28" s="53"/>
      <c r="S28" s="53"/>
      <c r="T28" s="53"/>
      <c r="U28" s="53"/>
      <c r="V28" s="53"/>
      <c r="W28" s="53"/>
      <c r="X28" s="53"/>
      <c r="Y28" s="53"/>
      <c r="Z28" s="53"/>
      <c r="AA28" s="53"/>
      <c r="AB28" s="53">
        <v>1</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row>
    <row r="29" spans="1:73" s="43" customFormat="1" ht="36.75" customHeight="1" thickBot="1" x14ac:dyDescent="0.3">
      <c r="A29" s="147"/>
      <c r="B29" s="80" t="s">
        <v>66</v>
      </c>
      <c r="C29" s="81" t="s">
        <v>48</v>
      </c>
      <c r="D29" s="46">
        <v>180</v>
      </c>
      <c r="E29" s="47">
        <f t="shared" ca="1" si="5"/>
        <v>0</v>
      </c>
      <c r="F29" s="82">
        <v>0</v>
      </c>
      <c r="G29" s="81"/>
      <c r="H29" s="82">
        <f t="shared" ca="1" si="4"/>
        <v>0</v>
      </c>
      <c r="I29" s="82"/>
      <c r="J29" s="101">
        <f t="shared" si="2"/>
        <v>180</v>
      </c>
      <c r="K29" s="95">
        <f t="shared" si="3"/>
        <v>0</v>
      </c>
      <c r="L29" s="96">
        <v>46320.375011574099</v>
      </c>
      <c r="M29" s="96">
        <v>46325.875011574099</v>
      </c>
      <c r="N29" s="40"/>
      <c r="O29" s="41">
        <f t="shared" si="1"/>
        <v>6.5</v>
      </c>
      <c r="P29" s="53"/>
      <c r="Q29" s="53"/>
      <c r="R29" s="53"/>
      <c r="S29" s="53"/>
      <c r="T29" s="53"/>
      <c r="U29" s="53"/>
      <c r="V29" s="53"/>
      <c r="W29" s="53"/>
      <c r="X29" s="53"/>
      <c r="Y29" s="53"/>
      <c r="Z29" s="53"/>
      <c r="AA29" s="53"/>
      <c r="AB29" s="53">
        <v>180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3" s="43" customFormat="1" ht="36.75" customHeight="1" thickBot="1" x14ac:dyDescent="0.3">
      <c r="A30" s="147" t="s">
        <v>68</v>
      </c>
      <c r="B30" s="75" t="s">
        <v>69</v>
      </c>
      <c r="C30" s="76" t="s">
        <v>48</v>
      </c>
      <c r="D30" s="33">
        <v>480</v>
      </c>
      <c r="E30" s="34">
        <f t="shared" ca="1" si="5"/>
        <v>480</v>
      </c>
      <c r="F30" s="35">
        <v>0</v>
      </c>
      <c r="G30" s="76"/>
      <c r="H30" s="35">
        <f t="shared" ca="1" si="4"/>
        <v>-480</v>
      </c>
      <c r="I30" s="35"/>
      <c r="J30" s="94">
        <f t="shared" si="2"/>
        <v>480</v>
      </c>
      <c r="K30" s="95">
        <f t="shared" si="3"/>
        <v>0</v>
      </c>
      <c r="L30" s="96">
        <v>46311.875013483797</v>
      </c>
      <c r="M30" s="96">
        <v>46313.475013483803</v>
      </c>
      <c r="N30" s="40"/>
      <c r="O30" s="41">
        <f t="shared" si="1"/>
        <v>2.6000000000058208</v>
      </c>
      <c r="P30" s="53"/>
      <c r="Q30" s="53"/>
      <c r="R30" s="53"/>
      <c r="S30" s="53"/>
      <c r="T30" s="53"/>
      <c r="U30" s="53"/>
      <c r="V30" s="53"/>
      <c r="W30" s="53"/>
      <c r="X30" s="53"/>
      <c r="Y30" s="53"/>
      <c r="Z30" s="53">
        <v>280</v>
      </c>
      <c r="AA30" s="53">
        <v>200</v>
      </c>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row>
    <row r="31" spans="1:73" s="43" customFormat="1" ht="36.75" customHeight="1" thickBot="1" x14ac:dyDescent="0.3">
      <c r="A31" s="147"/>
      <c r="B31" s="64" t="s">
        <v>70</v>
      </c>
      <c r="C31" s="65" t="s">
        <v>51</v>
      </c>
      <c r="D31" s="66">
        <v>5</v>
      </c>
      <c r="E31" s="67">
        <f t="shared" ca="1" si="5"/>
        <v>5</v>
      </c>
      <c r="F31" s="86">
        <v>0</v>
      </c>
      <c r="G31" s="65"/>
      <c r="H31" s="86">
        <f t="shared" ca="1" si="4"/>
        <v>-5</v>
      </c>
      <c r="I31" s="86"/>
      <c r="J31" s="103">
        <f t="shared" si="2"/>
        <v>5</v>
      </c>
      <c r="K31" s="95">
        <f t="shared" si="3"/>
        <v>0</v>
      </c>
      <c r="L31" s="96">
        <v>46313.475013483803</v>
      </c>
      <c r="M31" s="96">
        <v>46314.308346817103</v>
      </c>
      <c r="N31" s="40"/>
      <c r="O31" s="41">
        <f t="shared" si="1"/>
        <v>1.8333333332993789</v>
      </c>
      <c r="P31" s="53"/>
      <c r="Q31" s="53"/>
      <c r="R31" s="53"/>
      <c r="S31" s="53"/>
      <c r="T31" s="53"/>
      <c r="U31" s="53"/>
      <c r="V31" s="53"/>
      <c r="W31" s="53"/>
      <c r="X31" s="53"/>
      <c r="Y31" s="53"/>
      <c r="Z31" s="53"/>
      <c r="AA31" s="53">
        <v>5</v>
      </c>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row>
    <row r="32" spans="1:73" s="43" customFormat="1" ht="36.75" customHeight="1" thickBot="1" x14ac:dyDescent="0.3">
      <c r="A32" s="147"/>
      <c r="B32" s="64" t="s">
        <v>71</v>
      </c>
      <c r="C32" s="65" t="s">
        <v>51</v>
      </c>
      <c r="D32" s="66">
        <v>5</v>
      </c>
      <c r="E32" s="67">
        <f t="shared" ca="1" si="5"/>
        <v>5</v>
      </c>
      <c r="F32" s="86">
        <v>0</v>
      </c>
      <c r="G32" s="65"/>
      <c r="H32" s="86">
        <f t="shared" ca="1" si="4"/>
        <v>-5</v>
      </c>
      <c r="I32" s="86"/>
      <c r="J32" s="103">
        <f t="shared" si="2"/>
        <v>5</v>
      </c>
      <c r="K32" s="95">
        <f t="shared" si="3"/>
        <v>0</v>
      </c>
      <c r="L32" s="96">
        <v>46314.308346817103</v>
      </c>
      <c r="M32" s="96">
        <v>46315.141680150497</v>
      </c>
      <c r="N32" s="40"/>
      <c r="O32" s="88">
        <f t="shared" si="1"/>
        <v>1.8333333333939663</v>
      </c>
      <c r="P32" s="53"/>
      <c r="Q32" s="53"/>
      <c r="R32" s="53"/>
      <c r="S32" s="53"/>
      <c r="T32" s="53"/>
      <c r="U32" s="53"/>
      <c r="V32" s="53"/>
      <c r="W32" s="53"/>
      <c r="X32" s="53"/>
      <c r="Y32" s="53"/>
      <c r="Z32" s="53"/>
      <c r="AA32" s="53">
        <v>5</v>
      </c>
      <c r="AB32" s="53"/>
      <c r="AC32" s="53"/>
      <c r="AD32" s="53"/>
      <c r="AE32" s="53"/>
      <c r="AF32" s="53"/>
      <c r="AG32" s="53"/>
      <c r="AH32" s="53"/>
      <c r="AI32" s="53"/>
      <c r="AJ32" s="53"/>
      <c r="AK32" s="53"/>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row>
    <row r="33" spans="1:37" ht="36.75" customHeight="1" thickBot="1" x14ac:dyDescent="0.3">
      <c r="A33" s="147"/>
      <c r="B33" s="64" t="s">
        <v>72</v>
      </c>
      <c r="C33" s="65" t="s">
        <v>51</v>
      </c>
      <c r="D33" s="66">
        <v>10</v>
      </c>
      <c r="E33" s="67">
        <f t="shared" ca="1" si="5"/>
        <v>5</v>
      </c>
      <c r="F33" s="86">
        <v>0</v>
      </c>
      <c r="G33" s="65"/>
      <c r="H33" s="86">
        <f t="shared" ca="1" si="4"/>
        <v>-5</v>
      </c>
      <c r="I33" s="86"/>
      <c r="J33" s="103">
        <f t="shared" si="2"/>
        <v>10</v>
      </c>
      <c r="K33" s="95">
        <f t="shared" si="3"/>
        <v>0</v>
      </c>
      <c r="L33" s="96">
        <v>46315.141680150497</v>
      </c>
      <c r="M33" s="96">
        <v>46317.141680150497</v>
      </c>
      <c r="N33" s="90"/>
      <c r="P33" s="53"/>
      <c r="Q33" s="53"/>
      <c r="R33" s="53"/>
      <c r="S33" s="53"/>
      <c r="T33" s="53"/>
      <c r="U33" s="53"/>
      <c r="V33" s="53"/>
      <c r="W33" s="53"/>
      <c r="X33" s="53"/>
      <c r="Y33" s="53"/>
      <c r="Z33" s="53"/>
      <c r="AA33" s="53">
        <v>5</v>
      </c>
      <c r="AB33" s="53"/>
      <c r="AC33" s="53"/>
      <c r="AD33" s="53"/>
      <c r="AE33" s="53"/>
      <c r="AF33" s="53"/>
      <c r="AG33" s="53"/>
      <c r="AH33" s="53"/>
      <c r="AI33" s="53"/>
      <c r="AJ33" s="53"/>
      <c r="AK33" s="53"/>
    </row>
    <row r="34" spans="1:37" ht="36.75" customHeight="1" thickBot="1" x14ac:dyDescent="0.3">
      <c r="A34" s="147" t="s">
        <v>74</v>
      </c>
      <c r="B34" s="75" t="s">
        <v>75</v>
      </c>
      <c r="C34" s="76" t="s">
        <v>48</v>
      </c>
      <c r="D34" s="33">
        <v>550</v>
      </c>
      <c r="E34" s="34">
        <f t="shared" ca="1" si="5"/>
        <v>0</v>
      </c>
      <c r="F34" s="35">
        <v>0</v>
      </c>
      <c r="G34" s="76"/>
      <c r="H34" s="35">
        <f t="shared" ca="1" si="4"/>
        <v>0</v>
      </c>
      <c r="I34" s="35"/>
      <c r="J34" s="94">
        <f t="shared" si="2"/>
        <v>550</v>
      </c>
      <c r="K34" s="95">
        <f t="shared" si="3"/>
        <v>0</v>
      </c>
      <c r="L34" s="96">
        <v>46329.308346817103</v>
      </c>
      <c r="M34" s="96">
        <v>46331.308346817103</v>
      </c>
      <c r="P34" s="53"/>
      <c r="Q34" s="53"/>
      <c r="R34" s="53"/>
      <c r="S34" s="53"/>
      <c r="T34" s="53"/>
      <c r="U34" s="53"/>
      <c r="V34" s="53"/>
      <c r="W34" s="53"/>
      <c r="X34" s="53"/>
      <c r="Y34" s="53"/>
      <c r="Z34" s="53"/>
      <c r="AA34" s="53"/>
      <c r="AB34" s="53"/>
      <c r="AC34" s="53">
        <v>550</v>
      </c>
      <c r="AD34" s="53"/>
      <c r="AE34" s="53"/>
      <c r="AF34" s="53"/>
      <c r="AG34" s="53"/>
      <c r="AH34" s="53"/>
      <c r="AI34" s="53"/>
      <c r="AJ34" s="53"/>
      <c r="AK34" s="53"/>
    </row>
    <row r="35" spans="1:37" ht="36.75" customHeight="1" thickBot="1" x14ac:dyDescent="0.3">
      <c r="A35" s="147"/>
      <c r="B35" s="80" t="s">
        <v>76</v>
      </c>
      <c r="C35" s="81" t="s">
        <v>51</v>
      </c>
      <c r="D35" s="46">
        <v>2</v>
      </c>
      <c r="E35" s="47">
        <f t="shared" ca="1" si="5"/>
        <v>0</v>
      </c>
      <c r="F35" s="48">
        <v>0</v>
      </c>
      <c r="G35" s="81"/>
      <c r="H35" s="48">
        <f t="shared" ca="1" si="4"/>
        <v>0</v>
      </c>
      <c r="I35" s="48"/>
      <c r="J35" s="98">
        <f t="shared" si="2"/>
        <v>2</v>
      </c>
      <c r="K35" s="95">
        <f t="shared" si="3"/>
        <v>0</v>
      </c>
      <c r="L35" s="96">
        <v>46331.308346817103</v>
      </c>
      <c r="M35" s="96">
        <v>46331.808346817103</v>
      </c>
      <c r="P35" s="53"/>
      <c r="Q35" s="53"/>
      <c r="R35" s="53"/>
      <c r="S35" s="53"/>
      <c r="T35" s="53"/>
      <c r="U35" s="53"/>
      <c r="V35" s="53"/>
      <c r="W35" s="53"/>
      <c r="X35" s="53"/>
      <c r="Y35" s="53"/>
      <c r="Z35" s="53"/>
      <c r="AA35" s="53"/>
      <c r="AB35" s="53"/>
      <c r="AC35" s="53">
        <v>2</v>
      </c>
      <c r="AD35" s="53"/>
      <c r="AE35" s="53"/>
      <c r="AF35" s="53"/>
      <c r="AG35" s="53"/>
      <c r="AH35" s="53"/>
      <c r="AI35" s="53"/>
      <c r="AJ35" s="53"/>
      <c r="AK35" s="53"/>
    </row>
    <row r="36" spans="1:37" ht="36.75" customHeight="1" thickBot="1" x14ac:dyDescent="0.3">
      <c r="A36" s="147" t="s">
        <v>77</v>
      </c>
      <c r="B36" s="64" t="s">
        <v>78</v>
      </c>
      <c r="C36" s="65" t="s">
        <v>44</v>
      </c>
      <c r="D36" s="66">
        <v>2700</v>
      </c>
      <c r="E36" s="67">
        <f t="shared" ca="1" si="5"/>
        <v>0</v>
      </c>
      <c r="F36" s="86">
        <v>0</v>
      </c>
      <c r="G36" s="65"/>
      <c r="H36" s="86">
        <f t="shared" ca="1" si="4"/>
        <v>0</v>
      </c>
      <c r="I36" s="86"/>
      <c r="J36" s="103">
        <f t="shared" si="2"/>
        <v>2700</v>
      </c>
      <c r="K36" s="95">
        <f t="shared" si="3"/>
        <v>0</v>
      </c>
      <c r="L36" s="96">
        <v>46324.308346817103</v>
      </c>
      <c r="M36" s="96">
        <v>46327.0083468171</v>
      </c>
      <c r="P36" s="53"/>
      <c r="Q36" s="53"/>
      <c r="R36" s="53"/>
      <c r="S36" s="53"/>
      <c r="T36" s="53"/>
      <c r="U36" s="53"/>
      <c r="V36" s="53"/>
      <c r="W36" s="53"/>
      <c r="X36" s="53"/>
      <c r="Y36" s="53"/>
      <c r="Z36" s="53"/>
      <c r="AA36" s="53"/>
      <c r="AB36" s="53">
        <v>2000</v>
      </c>
      <c r="AC36" s="53">
        <v>1700</v>
      </c>
      <c r="AD36" s="53"/>
      <c r="AE36" s="53"/>
      <c r="AF36" s="53"/>
      <c r="AG36" s="53"/>
      <c r="AH36" s="53"/>
      <c r="AI36" s="53"/>
      <c r="AJ36" s="53"/>
      <c r="AK36" s="53"/>
    </row>
    <row r="37" spans="1:37" ht="36.75" customHeight="1" thickBot="1" x14ac:dyDescent="0.3">
      <c r="A37" s="147"/>
      <c r="B37" s="64" t="s">
        <v>79</v>
      </c>
      <c r="C37" s="65" t="s">
        <v>44</v>
      </c>
      <c r="D37" s="66">
        <v>930</v>
      </c>
      <c r="E37" s="67">
        <f t="shared" ca="1" si="5"/>
        <v>0</v>
      </c>
      <c r="F37" s="86">
        <v>0</v>
      </c>
      <c r="G37" s="65"/>
      <c r="H37" s="86">
        <f t="shared" ca="1" si="4"/>
        <v>0</v>
      </c>
      <c r="I37" s="86"/>
      <c r="J37" s="103">
        <f t="shared" si="2"/>
        <v>930</v>
      </c>
      <c r="K37" s="95">
        <f t="shared" si="3"/>
        <v>0</v>
      </c>
      <c r="L37" s="96">
        <v>46327.0083468171</v>
      </c>
      <c r="M37" s="96">
        <f>L37+2</f>
        <v>46329.0083468171</v>
      </c>
      <c r="P37" s="53"/>
      <c r="Q37" s="53"/>
      <c r="R37" s="53"/>
      <c r="S37" s="53"/>
      <c r="T37" s="53"/>
      <c r="U37" s="53"/>
      <c r="V37" s="53"/>
      <c r="W37" s="53"/>
      <c r="X37" s="53"/>
      <c r="Y37" s="53"/>
      <c r="Z37" s="53"/>
      <c r="AA37" s="53"/>
      <c r="AB37" s="53"/>
      <c r="AC37" s="53">
        <v>930</v>
      </c>
      <c r="AD37" s="53"/>
      <c r="AE37" s="53"/>
      <c r="AF37" s="53"/>
      <c r="AG37" s="53"/>
      <c r="AH37" s="53"/>
      <c r="AI37" s="53"/>
      <c r="AJ37" s="53"/>
      <c r="AK37" s="53"/>
    </row>
    <row r="38" spans="1:37" ht="36.75" customHeight="1" thickBot="1" x14ac:dyDescent="0.3">
      <c r="A38" s="147"/>
      <c r="B38" s="64" t="s">
        <v>80</v>
      </c>
      <c r="C38" s="65" t="s">
        <v>44</v>
      </c>
      <c r="D38" s="66">
        <f>15*250*0.05</f>
        <v>187.5</v>
      </c>
      <c r="E38" s="67">
        <f t="shared" ca="1" si="5"/>
        <v>0</v>
      </c>
      <c r="F38" s="86">
        <v>0</v>
      </c>
      <c r="G38" s="65"/>
      <c r="H38" s="86">
        <f t="shared" ca="1" si="4"/>
        <v>0</v>
      </c>
      <c r="I38" s="86"/>
      <c r="J38" s="103">
        <f t="shared" si="2"/>
        <v>187.5</v>
      </c>
      <c r="K38" s="95">
        <f t="shared" si="3"/>
        <v>0</v>
      </c>
      <c r="L38" s="96">
        <f>M37+1</f>
        <v>46330.0083468171</v>
      </c>
      <c r="M38" s="96">
        <f>L38+2</f>
        <v>46332.0083468171</v>
      </c>
      <c r="P38" s="53"/>
      <c r="Q38" s="53"/>
      <c r="R38" s="53"/>
      <c r="S38" s="53"/>
      <c r="T38" s="53"/>
      <c r="U38" s="53"/>
      <c r="V38" s="53"/>
      <c r="W38" s="53"/>
      <c r="X38" s="53"/>
      <c r="Y38" s="53"/>
      <c r="Z38" s="53"/>
      <c r="AA38" s="53"/>
      <c r="AB38" s="53"/>
      <c r="AC38" s="53">
        <v>180</v>
      </c>
      <c r="AD38" s="53"/>
      <c r="AE38" s="53"/>
      <c r="AF38" s="53"/>
      <c r="AG38" s="53"/>
      <c r="AH38" s="53"/>
      <c r="AI38" s="53"/>
      <c r="AJ38" s="53"/>
      <c r="AK38" s="53"/>
    </row>
    <row r="39" spans="1:37" ht="36.75" customHeight="1" thickBot="1" x14ac:dyDescent="0.3">
      <c r="A39" s="147"/>
      <c r="B39" s="64" t="s">
        <v>81</v>
      </c>
      <c r="C39" s="65" t="s">
        <v>44</v>
      </c>
      <c r="D39" s="66">
        <f>15*250*0.05</f>
        <v>187.5</v>
      </c>
      <c r="E39" s="67">
        <f t="shared" ca="1" si="5"/>
        <v>0</v>
      </c>
      <c r="F39" s="86">
        <v>0</v>
      </c>
      <c r="G39" s="65"/>
      <c r="H39" s="86">
        <f t="shared" ca="1" si="4"/>
        <v>0</v>
      </c>
      <c r="I39" s="86"/>
      <c r="J39" s="103">
        <f t="shared" si="2"/>
        <v>187.5</v>
      </c>
      <c r="K39" s="95">
        <f t="shared" si="3"/>
        <v>0</v>
      </c>
      <c r="L39" s="96">
        <v>46336.008344907401</v>
      </c>
      <c r="M39" s="96">
        <f>L39+1</f>
        <v>46337.008344907401</v>
      </c>
      <c r="P39" s="53"/>
      <c r="Q39" s="53"/>
      <c r="R39" s="53"/>
      <c r="S39" s="53"/>
      <c r="T39" s="53"/>
      <c r="U39" s="53"/>
      <c r="V39" s="53"/>
      <c r="W39" s="53"/>
      <c r="X39" s="53"/>
      <c r="Y39" s="53"/>
      <c r="Z39" s="53"/>
      <c r="AA39" s="53"/>
      <c r="AB39" s="53"/>
      <c r="AC39" s="53"/>
      <c r="AD39" s="53">
        <v>180</v>
      </c>
      <c r="AE39" s="53"/>
      <c r="AF39" s="53"/>
      <c r="AG39" s="53"/>
      <c r="AH39" s="53"/>
      <c r="AI39" s="53"/>
      <c r="AJ39" s="53"/>
      <c r="AK39" s="53"/>
    </row>
    <row r="40" spans="1:37" ht="36.75" customHeight="1" thickBot="1" x14ac:dyDescent="0.3">
      <c r="A40" s="147"/>
      <c r="B40" s="64" t="s">
        <v>82</v>
      </c>
      <c r="C40" s="65" t="s">
        <v>48</v>
      </c>
      <c r="D40" s="66">
        <v>1500</v>
      </c>
      <c r="E40" s="67">
        <f t="shared" ca="1" si="5"/>
        <v>0</v>
      </c>
      <c r="F40" s="86">
        <v>0</v>
      </c>
      <c r="G40" s="65"/>
      <c r="H40" s="86">
        <f t="shared" ca="1" si="4"/>
        <v>0</v>
      </c>
      <c r="I40" s="86"/>
      <c r="J40" s="103">
        <f t="shared" si="2"/>
        <v>1500</v>
      </c>
      <c r="K40" s="95">
        <f t="shared" si="3"/>
        <v>0</v>
      </c>
      <c r="L40" s="96">
        <v>46333.938344907401</v>
      </c>
      <c r="M40" s="96">
        <v>46335.716122685197</v>
      </c>
      <c r="P40" s="53"/>
      <c r="Q40" s="53"/>
      <c r="R40" s="53"/>
      <c r="S40" s="53"/>
      <c r="T40" s="53"/>
      <c r="U40" s="53"/>
      <c r="V40" s="53"/>
      <c r="W40" s="53"/>
      <c r="X40" s="53"/>
      <c r="Y40" s="53"/>
      <c r="Z40" s="53"/>
      <c r="AA40" s="53"/>
      <c r="AB40" s="53"/>
      <c r="AC40" s="53"/>
      <c r="AD40" s="53">
        <v>1500</v>
      </c>
      <c r="AE40" s="53"/>
      <c r="AF40" s="53"/>
      <c r="AG40" s="53"/>
      <c r="AH40" s="53"/>
      <c r="AI40" s="53"/>
      <c r="AJ40" s="53"/>
      <c r="AK40" s="53"/>
    </row>
    <row r="41" spans="1:37" ht="36.75" customHeight="1" thickBot="1" x14ac:dyDescent="0.3">
      <c r="A41" s="147"/>
      <c r="B41" s="64" t="s">
        <v>83</v>
      </c>
      <c r="C41" s="65" t="s">
        <v>84</v>
      </c>
      <c r="D41" s="66">
        <v>2500</v>
      </c>
      <c r="E41" s="67">
        <f t="shared" ca="1" si="5"/>
        <v>0</v>
      </c>
      <c r="F41" s="86">
        <v>0</v>
      </c>
      <c r="G41" s="65"/>
      <c r="H41" s="86">
        <f t="shared" ca="1" si="4"/>
        <v>0</v>
      </c>
      <c r="I41" s="86"/>
      <c r="J41" s="103">
        <f t="shared" si="2"/>
        <v>2500</v>
      </c>
      <c r="K41" s="95">
        <f t="shared" si="3"/>
        <v>0</v>
      </c>
      <c r="L41" s="96">
        <v>46336</v>
      </c>
      <c r="M41" s="96">
        <v>46341.716122685197</v>
      </c>
      <c r="P41" s="53"/>
      <c r="Q41" s="53"/>
      <c r="R41" s="53"/>
      <c r="S41" s="53"/>
      <c r="T41" s="53"/>
      <c r="U41" s="53"/>
      <c r="V41" s="53"/>
      <c r="W41" s="53"/>
      <c r="X41" s="53"/>
      <c r="Y41" s="53"/>
      <c r="Z41" s="53"/>
      <c r="AA41" s="53"/>
      <c r="AB41" s="53"/>
      <c r="AC41" s="53"/>
      <c r="AD41" s="53">
        <v>1500</v>
      </c>
      <c r="AE41" s="53">
        <v>1000</v>
      </c>
      <c r="AF41" s="53"/>
      <c r="AG41" s="53"/>
      <c r="AH41" s="53"/>
      <c r="AI41" s="53"/>
      <c r="AJ41" s="53"/>
      <c r="AK41" s="53"/>
    </row>
    <row r="42" spans="1:37" ht="36.75" customHeight="1" thickBot="1" x14ac:dyDescent="0.3">
      <c r="A42" s="147"/>
      <c r="B42" s="80" t="s">
        <v>85</v>
      </c>
      <c r="C42" s="81" t="s">
        <v>84</v>
      </c>
      <c r="D42" s="46">
        <v>150</v>
      </c>
      <c r="E42" s="47">
        <f t="shared" ca="1" si="5"/>
        <v>0</v>
      </c>
      <c r="F42" s="48">
        <v>0</v>
      </c>
      <c r="G42" s="81"/>
      <c r="H42" s="48">
        <f t="shared" ca="1" si="4"/>
        <v>0</v>
      </c>
      <c r="I42" s="48"/>
      <c r="J42" s="98">
        <f t="shared" si="2"/>
        <v>150</v>
      </c>
      <c r="K42" s="95">
        <f t="shared" si="3"/>
        <v>0</v>
      </c>
      <c r="L42" s="96">
        <v>46350</v>
      </c>
      <c r="M42" s="96">
        <v>46352</v>
      </c>
      <c r="P42" s="53"/>
      <c r="Q42" s="53"/>
      <c r="R42" s="53"/>
      <c r="S42" s="53"/>
      <c r="T42" s="53"/>
      <c r="U42" s="53"/>
      <c r="V42" s="53"/>
      <c r="W42" s="53"/>
      <c r="X42" s="53"/>
      <c r="Y42" s="53"/>
      <c r="Z42" s="53"/>
      <c r="AA42" s="53"/>
      <c r="AB42" s="53"/>
      <c r="AC42" s="53"/>
      <c r="AD42" s="53"/>
      <c r="AE42" s="53"/>
      <c r="AF42" s="53">
        <v>150</v>
      </c>
      <c r="AG42" s="53"/>
      <c r="AH42" s="53"/>
      <c r="AI42" s="53"/>
      <c r="AJ42" s="53"/>
      <c r="AK42" s="53"/>
    </row>
  </sheetData>
  <mergeCells count="23">
    <mergeCell ref="A1:L1"/>
    <mergeCell ref="P4:AK4"/>
    <mergeCell ref="A5:A6"/>
    <mergeCell ref="B5:B6"/>
    <mergeCell ref="C5:C6"/>
    <mergeCell ref="D5:D6"/>
    <mergeCell ref="E5:E6"/>
    <mergeCell ref="F5:F6"/>
    <mergeCell ref="G5:G6"/>
    <mergeCell ref="H5:H6"/>
    <mergeCell ref="I5:I6"/>
    <mergeCell ref="J5:J6"/>
    <mergeCell ref="K5:K6"/>
    <mergeCell ref="L5:L6"/>
    <mergeCell ref="M5:M6"/>
    <mergeCell ref="A30:A33"/>
    <mergeCell ref="A34:A35"/>
    <mergeCell ref="A36:A42"/>
    <mergeCell ref="A8:A9"/>
    <mergeCell ref="A10:A17"/>
    <mergeCell ref="A18:A22"/>
    <mergeCell ref="A23:A26"/>
    <mergeCell ref="A27:A29"/>
  </mergeCells>
  <conditionalFormatting sqref="H8:H42">
    <cfRule type="cellIs" dxfId="40" priority="1" operator="lessThan">
      <formula>0</formula>
    </cfRule>
    <cfRule type="cellIs" dxfId="39" priority="2" operator="greaterThan">
      <formula>0</formula>
    </cfRule>
  </conditionalFormatting>
  <conditionalFormatting sqref="K7:K42">
    <cfRule type="dataBar" priority="12">
      <dataBar>
        <cfvo type="num" val="0"/>
        <cfvo type="num" val="1"/>
        <color rgb="FFFFFFFF"/>
      </dataBar>
      <extLst>
        <ext xmlns:x14="http://schemas.microsoft.com/office/spreadsheetml/2009/9/main" uri="{B025F937-C7B1-47D3-B67F-A62EFF666E3E}">
          <x14:id>{94CB79AC-8ADC-4257-8C65-185B3A1BF624}</x14:id>
        </ext>
      </extLst>
    </cfRule>
  </conditionalFormatting>
  <conditionalFormatting sqref="K8:K42">
    <cfRule type="cellIs" dxfId="38" priority="5" operator="equal">
      <formula>100</formula>
    </cfRule>
    <cfRule type="cellIs" dxfId="37" priority="6" operator="equal">
      <formula>0</formula>
    </cfRule>
    <cfRule type="cellIs" dxfId="36" priority="7" operator="between">
      <formula>1</formula>
      <formula>99</formula>
    </cfRule>
    <cfRule type="cellIs" dxfId="35" priority="8" operator="greaterThan">
      <formula>0</formula>
    </cfRule>
  </conditionalFormatting>
  <conditionalFormatting sqref="K14">
    <cfRule type="cellIs" dxfId="34" priority="4" operator="equal">
      <formula>1</formula>
    </cfRule>
  </conditionalFormatting>
  <conditionalFormatting sqref="P5:AK42">
    <cfRule type="expression" dxfId="33" priority="11">
      <formula>AND(TODAY()&gt;=P$5,TODAY()&lt;P$5+7)</formula>
    </cfRule>
  </conditionalFormatting>
  <conditionalFormatting sqref="P8:AK42">
    <cfRule type="expression" dxfId="32" priority="9">
      <formula>AND(task_progress&gt;0,task_start&lt;=P$5+6,ROUNDDOWN((task_end-task_start+1)*task_progress,0)+task_start-1&gt;=P$5)</formula>
    </cfRule>
    <cfRule type="expression" dxfId="31" priority="10">
      <formula>AND(task_end&gt;=P$5,task_start&lt;=P$5+6)</formula>
    </cfRule>
  </conditionalFormatting>
  <dataValidations count="6">
    <dataValidation type="whole" operator="greaterThanOrEqual" allowBlank="1" showInputMessage="1" promptTitle="Display Week" prompt="Changing this number will scroll the Gantt Chart view." sqref="Z2" xr:uid="{00000000-0002-0000-0100-000000000000}">
      <formula1>1</formula1>
      <formula2>0</formula2>
    </dataValidation>
    <dataValidation allowBlank="1" showInputMessage="1" showErrorMessage="1" prompt="Enter Company name in cel B2." sqref="A2" xr:uid="{00000000-0002-0000-01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1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1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1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100-000005000000}">
      <formula1>0</formula1>
      <formula2>0</formula2>
    </dataValidation>
  </dataValidations>
  <printOptions horizontalCentered="1"/>
  <pageMargins left="0.35" right="0.35" top="0.35" bottom="0.34722222222222199" header="0.511811023622047" footer="0.511811023622047"/>
  <pageSetup scale="25"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94CB79AC-8ADC-4257-8C65-185B3A1BF624}">
            <x14:dataBar axisPosition="none">
              <x14:cfvo type="num">
                <xm:f>0</xm:f>
              </x14:cfvo>
              <x14:cfvo type="num">
                <xm:f>1</xm:f>
              </x14:cfvo>
              <x14:negativeFillColor rgb="FFFFFFFF"/>
            </x14:dataBar>
          </x14:cfRule>
          <xm:sqref>K7:K42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X42"/>
  <sheetViews>
    <sheetView showGridLines="0" rightToLeft="1" view="pageBreakPreview" zoomScale="55" zoomScaleNormal="40" zoomScalePageLayoutView="55" workbookViewId="0">
      <selection activeCell="E10" sqref="E10"/>
    </sheetView>
  </sheetViews>
  <sheetFormatPr defaultColWidth="8.69921875" defaultRowHeight="13.8" x14ac:dyDescent="0.25"/>
  <cols>
    <col min="1" max="1" width="29.796875" style="1" customWidth="1"/>
    <col min="2" max="2" width="40.296875" customWidth="1"/>
    <col min="3" max="3" width="12.09765625" customWidth="1"/>
    <col min="4" max="5" width="22.69921875" customWidth="1"/>
    <col min="6" max="6" width="22.69921875" hidden="1" customWidth="1"/>
    <col min="7" max="9" width="22.69921875" customWidth="1"/>
    <col min="10" max="10" width="30.796875" customWidth="1"/>
    <col min="11" max="11" width="22.19921875" style="2" customWidth="1"/>
    <col min="12" max="12" width="24.3984375" customWidth="1"/>
    <col min="13" max="13" width="1.796875" customWidth="1"/>
    <col min="14" max="14" width="6" hidden="1" customWidth="1"/>
    <col min="15" max="15" width="8.5" customWidth="1"/>
    <col min="16" max="16" width="9.59765625" customWidth="1"/>
    <col min="17" max="71" width="8.5" customWidth="1"/>
  </cols>
  <sheetData>
    <row r="1" spans="1:128" ht="72" customHeight="1" x14ac:dyDescent="1.45">
      <c r="A1" s="137" t="s">
        <v>0</v>
      </c>
      <c r="B1" s="137"/>
      <c r="C1" s="137"/>
      <c r="D1" s="137"/>
      <c r="E1" s="137"/>
      <c r="F1" s="137"/>
      <c r="G1" s="137"/>
      <c r="H1" s="137"/>
      <c r="I1" s="137"/>
      <c r="J1" s="137"/>
      <c r="K1" s="137"/>
      <c r="L1" s="3"/>
      <c r="N1" s="4"/>
      <c r="O1" s="5" t="s">
        <v>1</v>
      </c>
      <c r="P1" s="6">
        <f ca="1">TODAY()</f>
        <v>46315</v>
      </c>
      <c r="X1" s="7"/>
      <c r="Y1" s="8"/>
    </row>
    <row r="2" spans="1:128" ht="30" customHeight="1" x14ac:dyDescent="0.6">
      <c r="B2" s="9"/>
      <c r="C2" s="9"/>
      <c r="D2" s="9"/>
      <c r="E2" s="9"/>
      <c r="F2" s="9"/>
      <c r="G2" s="9"/>
      <c r="H2" s="9"/>
      <c r="I2" s="9"/>
      <c r="O2" s="10" t="s">
        <v>2</v>
      </c>
      <c r="P2" s="11" t="str">
        <f ca="1">IF(TODAY()&lt;$O$5,"-","أسبوع " &amp; ROUNDUP((TODAY()-$O$5+1)/7,0))</f>
        <v>أسبوع 10</v>
      </c>
      <c r="X2" s="7"/>
      <c r="Y2" s="12"/>
    </row>
    <row r="3" spans="1:128" ht="30" customHeight="1" x14ac:dyDescent="0.25">
      <c r="B3" s="13"/>
      <c r="C3" s="13"/>
      <c r="D3" s="13"/>
      <c r="E3" s="13"/>
      <c r="F3" s="13"/>
      <c r="G3" s="13"/>
      <c r="H3" s="13"/>
      <c r="I3" s="13"/>
      <c r="J3" s="14"/>
      <c r="O3" s="15" t="s">
        <v>3</v>
      </c>
      <c r="P3" s="16" t="s">
        <v>4</v>
      </c>
      <c r="Q3" s="17" t="s">
        <v>5</v>
      </c>
    </row>
    <row r="4" spans="1:128" ht="18" customHeight="1" x14ac:dyDescent="0.25">
      <c r="A4" s="18"/>
      <c r="B4" s="19"/>
      <c r="C4" s="19"/>
      <c r="D4" s="19"/>
      <c r="E4" s="19"/>
      <c r="F4" s="19"/>
      <c r="G4" s="19"/>
      <c r="H4" s="19"/>
      <c r="I4" s="19"/>
      <c r="K4" s="20"/>
      <c r="O4" s="138" t="s">
        <v>6</v>
      </c>
      <c r="P4" s="138"/>
      <c r="Q4" s="138"/>
      <c r="R4" s="138"/>
      <c r="S4" s="138"/>
      <c r="T4" s="138"/>
      <c r="U4" s="138"/>
      <c r="V4" s="138"/>
      <c r="W4" s="138"/>
      <c r="X4" s="138"/>
      <c r="Y4" s="138"/>
      <c r="Z4" s="138"/>
      <c r="AA4" s="138"/>
      <c r="AB4" s="138"/>
      <c r="AC4" s="138"/>
      <c r="AD4" s="138"/>
      <c r="AE4" s="138"/>
      <c r="AF4" s="138"/>
      <c r="AG4" s="138"/>
      <c r="AH4" s="138"/>
      <c r="AI4" s="138"/>
      <c r="AJ4" s="138"/>
      <c r="AL4" s="21"/>
      <c r="AS4" s="21"/>
      <c r="AZ4" s="21"/>
      <c r="BG4" s="21"/>
      <c r="BN4" s="21"/>
      <c r="BU4" s="21"/>
      <c r="CB4" s="21"/>
      <c r="CI4" s="21"/>
      <c r="CP4" s="21"/>
      <c r="CW4" s="21"/>
      <c r="DD4" s="21"/>
      <c r="DK4" s="21"/>
      <c r="DR4" s="21"/>
    </row>
    <row r="5" spans="1:128" ht="31.5" customHeight="1" x14ac:dyDescent="0.25">
      <c r="A5" s="144" t="s">
        <v>7</v>
      </c>
      <c r="B5" s="144" t="s">
        <v>7</v>
      </c>
      <c r="C5" s="144" t="s">
        <v>9</v>
      </c>
      <c r="D5" s="143" t="s">
        <v>10</v>
      </c>
      <c r="E5" s="144" t="s">
        <v>11</v>
      </c>
      <c r="F5" s="143" t="s">
        <v>12</v>
      </c>
      <c r="G5" s="143" t="s">
        <v>122</v>
      </c>
      <c r="H5" s="143" t="s">
        <v>14</v>
      </c>
      <c r="I5" s="144" t="s">
        <v>16</v>
      </c>
      <c r="J5" s="155" t="s">
        <v>17</v>
      </c>
      <c r="K5" s="145" t="s">
        <v>18</v>
      </c>
      <c r="L5" s="146" t="s">
        <v>19</v>
      </c>
      <c r="O5" s="22">
        <v>46250</v>
      </c>
      <c r="P5" s="22">
        <f>O5+7</f>
        <v>46257</v>
      </c>
      <c r="Q5" s="22">
        <f>P5+7</f>
        <v>46264</v>
      </c>
      <c r="R5" s="22">
        <f>Q5+7</f>
        <v>46271</v>
      </c>
      <c r="S5" s="22">
        <f>R5+7</f>
        <v>46278</v>
      </c>
      <c r="T5" s="22">
        <f>S5+7</f>
        <v>46285</v>
      </c>
      <c r="U5" s="22"/>
      <c r="V5" s="22"/>
      <c r="W5" s="22">
        <f>T5+7</f>
        <v>46292</v>
      </c>
      <c r="X5" s="22">
        <f t="shared" ref="X5:AJ5" si="0">W5+7</f>
        <v>46299</v>
      </c>
      <c r="Y5" s="22">
        <f t="shared" si="0"/>
        <v>46306</v>
      </c>
      <c r="Z5" s="22">
        <f t="shared" si="0"/>
        <v>46313</v>
      </c>
      <c r="AA5" s="22">
        <f t="shared" si="0"/>
        <v>46320</v>
      </c>
      <c r="AB5" s="22">
        <f t="shared" si="0"/>
        <v>46327</v>
      </c>
      <c r="AC5" s="22">
        <f t="shared" si="0"/>
        <v>46334</v>
      </c>
      <c r="AD5" s="22">
        <f t="shared" si="0"/>
        <v>46341</v>
      </c>
      <c r="AE5" s="22">
        <f t="shared" si="0"/>
        <v>46348</v>
      </c>
      <c r="AF5" s="22">
        <f t="shared" si="0"/>
        <v>46355</v>
      </c>
      <c r="AG5" s="22">
        <f t="shared" si="0"/>
        <v>46362</v>
      </c>
      <c r="AH5" s="22">
        <f t="shared" si="0"/>
        <v>46369</v>
      </c>
      <c r="AI5" s="22">
        <f t="shared" si="0"/>
        <v>46376</v>
      </c>
      <c r="AJ5" s="22">
        <f t="shared" si="0"/>
        <v>46383</v>
      </c>
      <c r="AK5" s="23"/>
      <c r="AL5" s="24"/>
      <c r="AM5" s="25"/>
      <c r="AN5" s="25"/>
      <c r="AO5" s="25"/>
      <c r="AP5" s="25"/>
      <c r="AQ5" s="25"/>
      <c r="AR5" s="23"/>
      <c r="AS5" s="24"/>
      <c r="AT5" s="25"/>
      <c r="AU5" s="25"/>
      <c r="AV5" s="25"/>
      <c r="AW5" s="25"/>
      <c r="AX5" s="25"/>
      <c r="AY5" s="23"/>
      <c r="AZ5" s="24"/>
      <c r="BA5" s="25"/>
      <c r="BB5" s="25"/>
      <c r="BC5" s="25"/>
      <c r="BD5" s="25"/>
      <c r="BE5" s="25"/>
      <c r="BF5" s="23"/>
      <c r="BG5" s="24"/>
      <c r="BH5" s="25"/>
      <c r="BI5" s="25"/>
      <c r="BJ5" s="25"/>
      <c r="BK5" s="25"/>
      <c r="BL5" s="25"/>
      <c r="BM5" s="23"/>
      <c r="BN5" s="24"/>
      <c r="BO5" s="25"/>
      <c r="BP5" s="25"/>
      <c r="BQ5" s="25"/>
      <c r="BR5" s="25"/>
      <c r="BS5" s="25"/>
      <c r="BT5" s="25"/>
      <c r="BU5" s="24"/>
      <c r="BV5" s="25"/>
      <c r="BW5" s="25"/>
      <c r="BX5" s="25"/>
      <c r="BY5" s="25"/>
      <c r="BZ5" s="25"/>
      <c r="CA5" s="23"/>
      <c r="CB5" s="24"/>
      <c r="CC5" s="24"/>
      <c r="CD5" s="25"/>
      <c r="CE5" s="25"/>
      <c r="CF5" s="25"/>
      <c r="CG5" s="25"/>
      <c r="CH5" s="25"/>
      <c r="CI5" s="23"/>
      <c r="CJ5" s="24"/>
      <c r="CK5" s="25"/>
      <c r="CL5" s="25"/>
      <c r="CM5" s="25"/>
      <c r="CN5" s="25"/>
      <c r="CO5" s="25"/>
      <c r="CP5" s="23"/>
      <c r="CQ5" s="24"/>
      <c r="CR5" s="24"/>
      <c r="CS5" s="25"/>
      <c r="CT5" s="25"/>
      <c r="CU5" s="25"/>
      <c r="CV5" s="25"/>
      <c r="CW5" s="25"/>
      <c r="CX5" s="23"/>
      <c r="CY5" s="24"/>
      <c r="CZ5" s="24"/>
      <c r="DA5" s="25"/>
      <c r="DB5" s="25"/>
      <c r="DC5" s="25"/>
      <c r="DD5" s="25"/>
      <c r="DE5" s="25"/>
      <c r="DF5" s="23"/>
      <c r="DG5" s="24"/>
      <c r="DH5" s="24"/>
      <c r="DI5" s="25"/>
      <c r="DJ5" s="25"/>
      <c r="DK5" s="25"/>
      <c r="DL5" s="25"/>
      <c r="DM5" s="25"/>
      <c r="DN5" s="23"/>
      <c r="DO5" s="24"/>
      <c r="DP5" s="24"/>
      <c r="DQ5" s="25"/>
      <c r="DR5" s="25"/>
      <c r="DS5" s="25"/>
      <c r="DT5" s="25"/>
      <c r="DU5" s="25"/>
      <c r="DV5" s="25"/>
      <c r="DW5" s="23"/>
      <c r="DX5" s="25"/>
    </row>
    <row r="6" spans="1:128" ht="31.5" customHeight="1" x14ac:dyDescent="0.25">
      <c r="A6" s="144"/>
      <c r="B6" s="144"/>
      <c r="C6" s="144"/>
      <c r="D6" s="143"/>
      <c r="E6" s="144"/>
      <c r="F6" s="143"/>
      <c r="G6" s="143"/>
      <c r="H6" s="143"/>
      <c r="I6" s="144"/>
      <c r="J6" s="155"/>
      <c r="K6" s="145"/>
      <c r="L6" s="146"/>
      <c r="O6" s="26" t="s">
        <v>20</v>
      </c>
      <c r="P6" s="26" t="s">
        <v>21</v>
      </c>
      <c r="Q6" s="26" t="s">
        <v>22</v>
      </c>
      <c r="R6" s="26" t="s">
        <v>23</v>
      </c>
      <c r="S6" s="26" t="s">
        <v>24</v>
      </c>
      <c r="T6" s="26" t="s">
        <v>25</v>
      </c>
      <c r="U6" s="26" t="s">
        <v>26</v>
      </c>
      <c r="V6" s="26" t="s">
        <v>14</v>
      </c>
      <c r="W6" s="26" t="s">
        <v>27</v>
      </c>
      <c r="X6" s="26" t="s">
        <v>28</v>
      </c>
      <c r="Y6" s="26" t="s">
        <v>29</v>
      </c>
      <c r="Z6" s="26" t="s">
        <v>30</v>
      </c>
      <c r="AA6" s="26" t="s">
        <v>31</v>
      </c>
      <c r="AB6" s="26" t="s">
        <v>32</v>
      </c>
      <c r="AC6" s="26" t="s">
        <v>33</v>
      </c>
      <c r="AD6" s="26" t="s">
        <v>34</v>
      </c>
      <c r="AE6" s="26" t="s">
        <v>35</v>
      </c>
      <c r="AF6" s="26" t="s">
        <v>36</v>
      </c>
      <c r="AG6" s="26" t="s">
        <v>37</v>
      </c>
      <c r="AH6" s="26" t="s">
        <v>38</v>
      </c>
      <c r="AI6" s="26" t="s">
        <v>39</v>
      </c>
      <c r="AJ6" s="26" t="s">
        <v>40</v>
      </c>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8"/>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row>
    <row r="7" spans="1:128" ht="12" customHeight="1" thickBot="1" x14ac:dyDescent="0.3">
      <c r="A7" s="1" t="s">
        <v>41</v>
      </c>
      <c r="B7" s="29"/>
      <c r="C7" s="29"/>
      <c r="D7" s="29"/>
      <c r="E7" s="29"/>
      <c r="F7" s="29"/>
      <c r="G7" s="29"/>
      <c r="H7" s="29"/>
      <c r="I7" s="29"/>
      <c r="J7" s="29"/>
      <c r="K7" s="29"/>
      <c r="L7" s="104"/>
      <c r="N7" t="str">
        <f t="shared" ref="N7:N32" si="1">IF(OR(ISBLANK(task_start),ISBLANK(task_end)),"",task_end-task_start+1)</f>
        <v/>
      </c>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row>
    <row r="8" spans="1:128" s="43" customFormat="1" ht="31.5" customHeight="1" thickBot="1" x14ac:dyDescent="0.3">
      <c r="A8" s="147" t="s">
        <v>42</v>
      </c>
      <c r="B8" s="31" t="s">
        <v>43</v>
      </c>
      <c r="C8" s="33" t="s">
        <v>44</v>
      </c>
      <c r="D8" s="34">
        <v>4500</v>
      </c>
      <c r="E8" s="35">
        <v>4500</v>
      </c>
      <c r="F8" s="32"/>
      <c r="G8" s="33">
        <v>4500</v>
      </c>
      <c r="H8" s="35">
        <f>G8-E8</f>
        <v>0</v>
      </c>
      <c r="I8" s="94">
        <f>D8-G8</f>
        <v>0</v>
      </c>
      <c r="J8" s="95">
        <f>G8/D8</f>
        <v>1</v>
      </c>
      <c r="K8" s="96">
        <v>46254</v>
      </c>
      <c r="L8" s="105">
        <v>46254</v>
      </c>
      <c r="M8" s="40"/>
      <c r="N8" s="41">
        <f t="shared" si="1"/>
        <v>1</v>
      </c>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row>
    <row r="9" spans="1:128" s="43" customFormat="1" ht="31.5" customHeight="1" thickBot="1" x14ac:dyDescent="0.3">
      <c r="A9" s="147"/>
      <c r="B9" s="44" t="s">
        <v>45</v>
      </c>
      <c r="C9" s="46" t="s">
        <v>44</v>
      </c>
      <c r="D9" s="47">
        <v>3500</v>
      </c>
      <c r="E9" s="48">
        <f>0.8*D9</f>
        <v>2800</v>
      </c>
      <c r="F9" s="45">
        <f>I9/3</f>
        <v>500</v>
      </c>
      <c r="G9" s="46">
        <v>2000</v>
      </c>
      <c r="H9" s="48">
        <f t="shared" ref="H9:H42" si="2">G9-E9</f>
        <v>-800</v>
      </c>
      <c r="I9" s="98">
        <f t="shared" ref="I9:I42" si="3">D9-G9</f>
        <v>1500</v>
      </c>
      <c r="J9" s="95">
        <f t="shared" ref="J9:J42" si="4">G9/D9</f>
        <v>0.5714285714285714</v>
      </c>
      <c r="K9" s="96">
        <v>46256</v>
      </c>
      <c r="L9" s="106">
        <v>46292</v>
      </c>
      <c r="M9" s="40"/>
      <c r="N9" s="41">
        <f t="shared" si="1"/>
        <v>37</v>
      </c>
      <c r="O9" s="53"/>
      <c r="P9" s="53"/>
      <c r="Q9" s="53"/>
      <c r="R9" s="53"/>
      <c r="S9" s="53">
        <v>500</v>
      </c>
      <c r="T9" s="53">
        <v>500</v>
      </c>
      <c r="U9" s="53"/>
      <c r="V9" s="53"/>
      <c r="W9" s="53">
        <v>500</v>
      </c>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row>
    <row r="10" spans="1:128" s="43" customFormat="1" ht="31.5" customHeight="1" thickBot="1" x14ac:dyDescent="0.3">
      <c r="A10" s="147" t="s">
        <v>46</v>
      </c>
      <c r="B10" s="54" t="s">
        <v>47</v>
      </c>
      <c r="C10" s="56" t="s">
        <v>48</v>
      </c>
      <c r="D10" s="57">
        <v>220</v>
      </c>
      <c r="E10" s="58">
        <f t="shared" ref="E10:E42" ca="1" si="5">SUMPRODUCT(ISNUMBER($O$5:$AJ$5)*($O$5:$AJ$5&lt;=TODAY())*(O10:AJ10))</f>
        <v>220</v>
      </c>
      <c r="F10" s="55">
        <f>I10/3</f>
        <v>73.333333333333329</v>
      </c>
      <c r="G10" s="56">
        <v>0</v>
      </c>
      <c r="H10" s="58">
        <f t="shared" ca="1" si="2"/>
        <v>-220</v>
      </c>
      <c r="I10" s="99">
        <f t="shared" si="3"/>
        <v>220</v>
      </c>
      <c r="J10" s="95">
        <f t="shared" si="4"/>
        <v>0</v>
      </c>
      <c r="K10" s="96">
        <v>46286</v>
      </c>
      <c r="L10" s="106">
        <v>46294</v>
      </c>
      <c r="M10" s="40"/>
      <c r="N10" s="41">
        <f t="shared" si="1"/>
        <v>9</v>
      </c>
      <c r="O10" s="53"/>
      <c r="P10" s="53"/>
      <c r="Q10" s="53"/>
      <c r="R10" s="53"/>
      <c r="S10" s="53"/>
      <c r="T10" s="53">
        <v>110</v>
      </c>
      <c r="U10" s="53"/>
      <c r="V10" s="53"/>
      <c r="W10" s="53">
        <v>110</v>
      </c>
      <c r="X10" s="53"/>
      <c r="Y10" s="53"/>
      <c r="Z10" s="53"/>
      <c r="AA10" s="53"/>
      <c r="AB10" s="53"/>
      <c r="AC10" s="63"/>
      <c r="AD10" s="6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row>
    <row r="11" spans="1:128" s="43" customFormat="1" ht="31.5" customHeight="1" thickBot="1" x14ac:dyDescent="0.3">
      <c r="A11" s="147"/>
      <c r="B11" s="64" t="s">
        <v>49</v>
      </c>
      <c r="C11" s="66" t="s">
        <v>48</v>
      </c>
      <c r="D11" s="67">
        <v>400</v>
      </c>
      <c r="E11" s="68">
        <f t="shared" ca="1" si="5"/>
        <v>400</v>
      </c>
      <c r="F11" s="65">
        <f>I11/3</f>
        <v>133.33333333333334</v>
      </c>
      <c r="G11" s="66">
        <v>0</v>
      </c>
      <c r="H11" s="68">
        <f t="shared" ca="1" si="2"/>
        <v>-400</v>
      </c>
      <c r="I11" s="100">
        <f t="shared" si="3"/>
        <v>400</v>
      </c>
      <c r="J11" s="95">
        <f t="shared" si="4"/>
        <v>0</v>
      </c>
      <c r="K11" s="96">
        <v>46286</v>
      </c>
      <c r="L11" s="106">
        <v>46298</v>
      </c>
      <c r="M11" s="40"/>
      <c r="N11" s="41">
        <f t="shared" si="1"/>
        <v>13</v>
      </c>
      <c r="O11" s="53"/>
      <c r="P11" s="53"/>
      <c r="Q11" s="53"/>
      <c r="R11" s="53"/>
      <c r="S11" s="53"/>
      <c r="T11" s="53">
        <v>200</v>
      </c>
      <c r="U11" s="53"/>
      <c r="V11" s="53"/>
      <c r="W11" s="53">
        <v>200</v>
      </c>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row>
    <row r="12" spans="1:128" s="43" customFormat="1" ht="31.5" customHeight="1" thickBot="1" x14ac:dyDescent="0.3">
      <c r="A12" s="147"/>
      <c r="B12" s="64" t="s">
        <v>50</v>
      </c>
      <c r="C12" s="66" t="s">
        <v>51</v>
      </c>
      <c r="D12" s="67">
        <v>6</v>
      </c>
      <c r="E12" s="68">
        <f t="shared" ca="1" si="5"/>
        <v>6</v>
      </c>
      <c r="F12" s="65"/>
      <c r="G12" s="66">
        <v>0</v>
      </c>
      <c r="H12" s="68">
        <f t="shared" ca="1" si="2"/>
        <v>-6</v>
      </c>
      <c r="I12" s="100">
        <f t="shared" si="3"/>
        <v>6</v>
      </c>
      <c r="J12" s="95">
        <f t="shared" si="4"/>
        <v>0</v>
      </c>
      <c r="K12" s="96">
        <v>46286</v>
      </c>
      <c r="L12" s="106">
        <v>46298</v>
      </c>
      <c r="M12" s="40"/>
      <c r="N12" s="41">
        <f t="shared" si="1"/>
        <v>13</v>
      </c>
      <c r="O12" s="53"/>
      <c r="P12" s="53"/>
      <c r="Q12" s="53"/>
      <c r="R12" s="53"/>
      <c r="S12" s="53"/>
      <c r="T12" s="53">
        <v>3</v>
      </c>
      <c r="U12" s="53"/>
      <c r="V12" s="53"/>
      <c r="W12" s="53">
        <v>3</v>
      </c>
      <c r="X12" s="53"/>
      <c r="Y12" s="53"/>
      <c r="Z12" s="53"/>
      <c r="AA12" s="53"/>
      <c r="AB12" s="53"/>
      <c r="AC12" s="53"/>
      <c r="AD12" s="53"/>
      <c r="AE12" s="53"/>
      <c r="AF12" s="53"/>
      <c r="AG12" s="6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row>
    <row r="13" spans="1:128" s="43" customFormat="1" ht="31.5" customHeight="1" thickBot="1" x14ac:dyDescent="0.3">
      <c r="A13" s="147"/>
      <c r="B13" s="64" t="s">
        <v>52</v>
      </c>
      <c r="C13" s="66" t="s">
        <v>51</v>
      </c>
      <c r="D13" s="67">
        <v>6</v>
      </c>
      <c r="E13" s="68">
        <f t="shared" ca="1" si="5"/>
        <v>0</v>
      </c>
      <c r="F13" s="65"/>
      <c r="G13" s="66">
        <v>0</v>
      </c>
      <c r="H13" s="68">
        <f t="shared" ca="1" si="2"/>
        <v>0</v>
      </c>
      <c r="I13" s="100">
        <f t="shared" si="3"/>
        <v>6</v>
      </c>
      <c r="J13" s="95">
        <f t="shared" si="4"/>
        <v>0</v>
      </c>
      <c r="K13" s="96">
        <v>46376</v>
      </c>
      <c r="L13" s="106">
        <v>46387</v>
      </c>
      <c r="M13" s="40"/>
      <c r="N13" s="41">
        <f t="shared" si="1"/>
        <v>12</v>
      </c>
      <c r="O13" s="53"/>
      <c r="P13" s="53"/>
      <c r="Q13" s="53"/>
      <c r="R13" s="53"/>
      <c r="S13" s="53"/>
      <c r="T13" s="53"/>
      <c r="U13" s="53"/>
      <c r="V13" s="53"/>
      <c r="W13" s="53"/>
      <c r="X13" s="53"/>
      <c r="Y13" s="53"/>
      <c r="Z13" s="53"/>
      <c r="AA13" s="53"/>
      <c r="AB13" s="53"/>
      <c r="AC13" s="53"/>
      <c r="AD13" s="53"/>
      <c r="AE13" s="53"/>
      <c r="AF13" s="53"/>
      <c r="AG13" s="53"/>
      <c r="AH13" s="53"/>
      <c r="AI13" s="53">
        <v>3</v>
      </c>
      <c r="AJ13" s="53">
        <v>3</v>
      </c>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row>
    <row r="14" spans="1:128" s="43" customFormat="1" ht="31.5" customHeight="1" thickBot="1" x14ac:dyDescent="0.3">
      <c r="A14" s="147"/>
      <c r="B14" s="64" t="s">
        <v>53</v>
      </c>
      <c r="C14" s="66" t="s">
        <v>51</v>
      </c>
      <c r="D14" s="67">
        <v>6</v>
      </c>
      <c r="E14" s="68">
        <f t="shared" ca="1" si="5"/>
        <v>0</v>
      </c>
      <c r="F14" s="65"/>
      <c r="G14" s="66">
        <v>0</v>
      </c>
      <c r="H14" s="68">
        <f t="shared" ca="1" si="2"/>
        <v>0</v>
      </c>
      <c r="I14" s="100">
        <f t="shared" si="3"/>
        <v>6</v>
      </c>
      <c r="J14" s="95">
        <f t="shared" si="4"/>
        <v>0</v>
      </c>
      <c r="K14" s="96">
        <v>46376</v>
      </c>
      <c r="L14" s="106">
        <v>46387</v>
      </c>
      <c r="M14" s="40"/>
      <c r="N14" s="41">
        <f t="shared" si="1"/>
        <v>12</v>
      </c>
      <c r="AI14" s="53">
        <v>3</v>
      </c>
      <c r="AJ14" s="53">
        <v>3</v>
      </c>
    </row>
    <row r="15" spans="1:128" s="43" customFormat="1" ht="31.5" customHeight="1" thickBot="1" x14ac:dyDescent="0.3">
      <c r="A15" s="147"/>
      <c r="B15" s="64" t="s">
        <v>54</v>
      </c>
      <c r="C15" s="66" t="s">
        <v>51</v>
      </c>
      <c r="D15" s="67">
        <v>6</v>
      </c>
      <c r="E15" s="68">
        <f t="shared" ca="1" si="5"/>
        <v>0</v>
      </c>
      <c r="F15" s="65"/>
      <c r="G15" s="66">
        <v>0</v>
      </c>
      <c r="H15" s="68">
        <f t="shared" ca="1" si="2"/>
        <v>0</v>
      </c>
      <c r="I15" s="100">
        <f t="shared" si="3"/>
        <v>6</v>
      </c>
      <c r="J15" s="95">
        <f t="shared" si="4"/>
        <v>0</v>
      </c>
      <c r="K15" s="96">
        <v>46376</v>
      </c>
      <c r="L15" s="106">
        <v>46387</v>
      </c>
      <c r="M15" s="40"/>
      <c r="N15" s="41">
        <f t="shared" si="1"/>
        <v>12</v>
      </c>
      <c r="O15" s="53"/>
      <c r="P15" s="53"/>
      <c r="Q15" s="53"/>
      <c r="R15" s="53"/>
      <c r="S15" s="53"/>
      <c r="T15" s="53"/>
      <c r="U15" s="53"/>
      <c r="V15" s="53"/>
      <c r="W15" s="53"/>
      <c r="X15" s="53"/>
      <c r="Y15" s="53"/>
      <c r="Z15" s="53"/>
      <c r="AA15" s="53"/>
      <c r="AB15" s="53"/>
      <c r="AC15" s="53"/>
      <c r="AD15" s="53"/>
      <c r="AE15" s="53"/>
      <c r="AF15" s="53"/>
      <c r="AG15" s="53"/>
      <c r="AH15" s="53"/>
      <c r="AI15" s="53">
        <v>3</v>
      </c>
      <c r="AJ15" s="53">
        <v>3</v>
      </c>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row>
    <row r="16" spans="1:128" s="43" customFormat="1" ht="31.5" customHeight="1" thickBot="1" x14ac:dyDescent="0.3">
      <c r="A16" s="147"/>
      <c r="B16" s="64" t="s">
        <v>55</v>
      </c>
      <c r="C16" s="66" t="s">
        <v>51</v>
      </c>
      <c r="D16" s="67">
        <v>23</v>
      </c>
      <c r="E16" s="68">
        <f t="shared" ca="1" si="5"/>
        <v>23</v>
      </c>
      <c r="F16" s="65"/>
      <c r="G16" s="66">
        <v>0</v>
      </c>
      <c r="H16" s="68">
        <f t="shared" ca="1" si="2"/>
        <v>-23</v>
      </c>
      <c r="I16" s="100">
        <f t="shared" si="3"/>
        <v>23</v>
      </c>
      <c r="J16" s="95">
        <f t="shared" si="4"/>
        <v>0</v>
      </c>
      <c r="K16" s="96">
        <v>46286</v>
      </c>
      <c r="L16" s="106">
        <v>46298</v>
      </c>
      <c r="M16" s="40"/>
      <c r="N16" s="41">
        <f t="shared" si="1"/>
        <v>13</v>
      </c>
      <c r="O16" s="53"/>
      <c r="P16" s="53"/>
      <c r="Q16" s="53"/>
      <c r="R16" s="53"/>
      <c r="S16" s="53"/>
      <c r="T16" s="53">
        <v>13</v>
      </c>
      <c r="U16" s="53"/>
      <c r="V16" s="53"/>
      <c r="W16" s="53">
        <v>10</v>
      </c>
      <c r="X16" s="53"/>
      <c r="Y16" s="53"/>
      <c r="Z16" s="53"/>
      <c r="AA16" s="53"/>
      <c r="AB16" s="53"/>
      <c r="AC16" s="63"/>
      <c r="AD16" s="6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row>
    <row r="17" spans="1:72" s="43" customFormat="1" ht="31.5" customHeight="1" thickBot="1" x14ac:dyDescent="0.3">
      <c r="A17" s="147"/>
      <c r="B17" s="64" t="s">
        <v>56</v>
      </c>
      <c r="C17" s="46" t="s">
        <v>51</v>
      </c>
      <c r="D17" s="72">
        <v>23</v>
      </c>
      <c r="E17" s="68">
        <f t="shared" ca="1" si="5"/>
        <v>0</v>
      </c>
      <c r="F17" s="65"/>
      <c r="G17" s="46">
        <v>0</v>
      </c>
      <c r="H17" s="68">
        <f t="shared" ca="1" si="2"/>
        <v>0</v>
      </c>
      <c r="I17" s="101">
        <f t="shared" si="3"/>
        <v>23</v>
      </c>
      <c r="J17" s="95">
        <f t="shared" si="4"/>
        <v>0</v>
      </c>
      <c r="K17" s="96">
        <v>46376</v>
      </c>
      <c r="L17" s="106">
        <v>46386</v>
      </c>
      <c r="M17" s="40"/>
      <c r="N17" s="41">
        <f t="shared" si="1"/>
        <v>11</v>
      </c>
      <c r="O17" s="53"/>
      <c r="P17" s="53"/>
      <c r="Q17" s="53"/>
      <c r="R17" s="53"/>
      <c r="S17" s="53"/>
      <c r="T17" s="53"/>
      <c r="U17" s="53"/>
      <c r="V17" s="53"/>
      <c r="W17" s="53"/>
      <c r="X17" s="53"/>
      <c r="Y17" s="53"/>
      <c r="Z17" s="53"/>
      <c r="AA17" s="53"/>
      <c r="AB17" s="53"/>
      <c r="AC17" s="53"/>
      <c r="AD17" s="53"/>
      <c r="AE17" s="53"/>
      <c r="AF17" s="53"/>
      <c r="AG17" s="53"/>
      <c r="AH17" s="53"/>
      <c r="AI17" s="53">
        <v>13</v>
      </c>
      <c r="AJ17" s="53">
        <v>10</v>
      </c>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row>
    <row r="18" spans="1:72" s="43" customFormat="1" ht="31.5" customHeight="1" thickBot="1" x14ac:dyDescent="0.3">
      <c r="A18" s="147" t="s">
        <v>57</v>
      </c>
      <c r="B18" s="75" t="s">
        <v>47</v>
      </c>
      <c r="C18" s="33" t="s">
        <v>48</v>
      </c>
      <c r="D18" s="34">
        <v>150</v>
      </c>
      <c r="E18" s="77">
        <f t="shared" ca="1" si="5"/>
        <v>150</v>
      </c>
      <c r="F18" s="76"/>
      <c r="G18" s="33">
        <v>0</v>
      </c>
      <c r="H18" s="77">
        <f t="shared" ca="1" si="2"/>
        <v>-150</v>
      </c>
      <c r="I18" s="102">
        <f t="shared" si="3"/>
        <v>150</v>
      </c>
      <c r="J18" s="95">
        <f t="shared" si="4"/>
        <v>0</v>
      </c>
      <c r="K18" s="96">
        <v>46300</v>
      </c>
      <c r="L18" s="106">
        <v>46305</v>
      </c>
      <c r="M18" s="40"/>
      <c r="N18" s="41">
        <f t="shared" si="1"/>
        <v>6</v>
      </c>
      <c r="P18" s="53"/>
      <c r="Q18" s="53"/>
      <c r="R18" s="53"/>
      <c r="S18" s="53"/>
      <c r="T18" s="53"/>
      <c r="U18" s="53"/>
      <c r="V18" s="53"/>
      <c r="W18" s="53"/>
      <c r="X18" s="53">
        <v>150</v>
      </c>
      <c r="Y18" s="53"/>
      <c r="Z18" s="53"/>
      <c r="AA18" s="53"/>
      <c r="AB18" s="53"/>
      <c r="AC18" s="53"/>
      <c r="AD18" s="53"/>
      <c r="AE18" s="53"/>
      <c r="AF18" s="53"/>
      <c r="AG18" s="6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row>
    <row r="19" spans="1:72" s="43" customFormat="1" ht="31.5" customHeight="1" thickBot="1" x14ac:dyDescent="0.3">
      <c r="A19" s="147"/>
      <c r="B19" s="64" t="s">
        <v>87</v>
      </c>
      <c r="C19" s="66" t="s">
        <v>48</v>
      </c>
      <c r="D19" s="67">
        <v>150</v>
      </c>
      <c r="E19" s="68">
        <f t="shared" ca="1" si="5"/>
        <v>0</v>
      </c>
      <c r="F19" s="65"/>
      <c r="G19" s="66">
        <v>0</v>
      </c>
      <c r="H19" s="68">
        <f t="shared" ca="1" si="2"/>
        <v>0</v>
      </c>
      <c r="I19" s="100">
        <f t="shared" si="3"/>
        <v>150</v>
      </c>
      <c r="J19" s="95">
        <f t="shared" si="4"/>
        <v>0</v>
      </c>
      <c r="K19" s="96">
        <v>46339</v>
      </c>
      <c r="L19" s="106">
        <v>46352</v>
      </c>
      <c r="M19" s="40"/>
      <c r="N19" s="41">
        <f t="shared" si="1"/>
        <v>14</v>
      </c>
      <c r="O19" s="53"/>
      <c r="P19" s="53"/>
      <c r="Q19" s="53"/>
      <c r="R19" s="53"/>
      <c r="S19" s="53"/>
      <c r="T19" s="53"/>
      <c r="U19" s="53"/>
      <c r="V19" s="53"/>
      <c r="W19" s="53"/>
      <c r="X19" s="53"/>
      <c r="Y19" s="53"/>
      <c r="Z19" s="53"/>
      <c r="AA19" s="53"/>
      <c r="AB19" s="53"/>
      <c r="AC19" s="53">
        <v>50</v>
      </c>
      <c r="AD19" s="53">
        <v>50</v>
      </c>
      <c r="AE19" s="53">
        <v>50</v>
      </c>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row>
    <row r="20" spans="1:72" s="43" customFormat="1" ht="31.5" customHeight="1" thickBot="1" x14ac:dyDescent="0.3">
      <c r="A20" s="147"/>
      <c r="B20" s="64" t="s">
        <v>50</v>
      </c>
      <c r="C20" s="66" t="s">
        <v>51</v>
      </c>
      <c r="D20" s="67">
        <v>2</v>
      </c>
      <c r="E20" s="68">
        <f t="shared" ca="1" si="5"/>
        <v>2</v>
      </c>
      <c r="F20" s="65"/>
      <c r="G20" s="66">
        <v>0</v>
      </c>
      <c r="H20" s="68">
        <f t="shared" ca="1" si="2"/>
        <v>-2</v>
      </c>
      <c r="I20" s="100">
        <f t="shared" si="3"/>
        <v>2</v>
      </c>
      <c r="J20" s="95">
        <f t="shared" si="4"/>
        <v>0</v>
      </c>
      <c r="K20" s="96">
        <v>46300</v>
      </c>
      <c r="L20" s="106">
        <v>46305</v>
      </c>
      <c r="M20" s="40"/>
      <c r="N20" s="41">
        <f t="shared" si="1"/>
        <v>6</v>
      </c>
      <c r="O20" s="79"/>
      <c r="P20" s="79"/>
      <c r="Q20" s="79"/>
      <c r="R20" s="79"/>
      <c r="S20" s="79"/>
      <c r="T20" s="79"/>
      <c r="U20" s="79"/>
      <c r="V20" s="79"/>
      <c r="W20" s="79"/>
      <c r="X20" s="79">
        <v>2</v>
      </c>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row>
    <row r="21" spans="1:72" s="43" customFormat="1" ht="31.5" customHeight="1" thickBot="1" x14ac:dyDescent="0.3">
      <c r="A21" s="147"/>
      <c r="B21" s="64" t="s">
        <v>59</v>
      </c>
      <c r="C21" s="66" t="s">
        <v>51</v>
      </c>
      <c r="D21" s="67">
        <v>2</v>
      </c>
      <c r="E21" s="68">
        <f t="shared" ca="1" si="5"/>
        <v>0</v>
      </c>
      <c r="F21" s="65"/>
      <c r="G21" s="66">
        <v>0</v>
      </c>
      <c r="H21" s="68">
        <f t="shared" ca="1" si="2"/>
        <v>0</v>
      </c>
      <c r="I21" s="100">
        <f t="shared" si="3"/>
        <v>2</v>
      </c>
      <c r="J21" s="95">
        <f t="shared" si="4"/>
        <v>0</v>
      </c>
      <c r="K21" s="96">
        <v>46376</v>
      </c>
      <c r="L21" s="106">
        <v>46387</v>
      </c>
      <c r="M21" s="40"/>
      <c r="N21" s="41">
        <f t="shared" si="1"/>
        <v>12</v>
      </c>
      <c r="O21" s="53"/>
      <c r="P21" s="53"/>
      <c r="Q21" s="53"/>
      <c r="R21" s="53"/>
      <c r="S21" s="53"/>
      <c r="T21" s="53"/>
      <c r="U21" s="53"/>
      <c r="V21" s="53"/>
      <c r="W21" s="53"/>
      <c r="X21" s="53"/>
      <c r="Y21" s="53"/>
      <c r="Z21" s="53"/>
      <c r="AA21" s="53"/>
      <c r="AB21" s="53"/>
      <c r="AC21" s="53"/>
      <c r="AD21" s="53"/>
      <c r="AE21" s="53"/>
      <c r="AF21" s="53"/>
      <c r="AG21" s="53"/>
      <c r="AH21" s="53"/>
      <c r="AI21" s="53">
        <v>1</v>
      </c>
      <c r="AJ21" s="53">
        <v>1</v>
      </c>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row>
    <row r="22" spans="1:72" s="43" customFormat="1" ht="31.5" customHeight="1" thickBot="1" x14ac:dyDescent="0.3">
      <c r="A22" s="147"/>
      <c r="B22" s="80" t="s">
        <v>60</v>
      </c>
      <c r="C22" s="46" t="s">
        <v>51</v>
      </c>
      <c r="D22" s="47">
        <v>2</v>
      </c>
      <c r="E22" s="82">
        <f t="shared" ca="1" si="5"/>
        <v>0</v>
      </c>
      <c r="F22" s="81"/>
      <c r="G22" s="46">
        <v>0</v>
      </c>
      <c r="H22" s="82">
        <f t="shared" ca="1" si="2"/>
        <v>0</v>
      </c>
      <c r="I22" s="101">
        <f t="shared" si="3"/>
        <v>2</v>
      </c>
      <c r="J22" s="95">
        <f t="shared" si="4"/>
        <v>0</v>
      </c>
      <c r="K22" s="96">
        <v>46376</v>
      </c>
      <c r="L22" s="106">
        <v>46387</v>
      </c>
      <c r="M22" s="40"/>
      <c r="N22" s="41">
        <f t="shared" si="1"/>
        <v>12</v>
      </c>
      <c r="O22" s="53"/>
      <c r="P22" s="53"/>
      <c r="Q22" s="53"/>
      <c r="R22" s="53"/>
      <c r="S22" s="53"/>
      <c r="T22" s="53"/>
      <c r="U22" s="53"/>
      <c r="V22" s="53"/>
      <c r="W22" s="53"/>
      <c r="X22" s="53"/>
      <c r="Y22" s="53"/>
      <c r="Z22" s="53"/>
      <c r="AA22" s="53"/>
      <c r="AB22" s="53"/>
      <c r="AC22" s="53"/>
      <c r="AD22" s="53"/>
      <c r="AE22" s="53"/>
      <c r="AF22" s="53"/>
      <c r="AG22" s="53"/>
      <c r="AH22" s="53"/>
      <c r="AI22" s="53">
        <v>1</v>
      </c>
      <c r="AJ22" s="53">
        <v>1</v>
      </c>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row>
    <row r="23" spans="1:72" s="43" customFormat="1" ht="31.5" customHeight="1" thickBot="1" x14ac:dyDescent="0.3">
      <c r="A23" s="147" t="s">
        <v>61</v>
      </c>
      <c r="B23" s="75" t="s">
        <v>62</v>
      </c>
      <c r="C23" s="33" t="s">
        <v>48</v>
      </c>
      <c r="D23" s="34">
        <v>260</v>
      </c>
      <c r="E23" s="77">
        <f t="shared" ca="1" si="5"/>
        <v>260</v>
      </c>
      <c r="F23" s="76"/>
      <c r="G23" s="33">
        <v>0</v>
      </c>
      <c r="H23" s="77">
        <f t="shared" ca="1" si="2"/>
        <v>-260</v>
      </c>
      <c r="I23" s="102">
        <f t="shared" si="3"/>
        <v>260</v>
      </c>
      <c r="J23" s="95">
        <f t="shared" si="4"/>
        <v>0</v>
      </c>
      <c r="K23" s="96">
        <v>46306</v>
      </c>
      <c r="L23" s="106">
        <v>46314</v>
      </c>
      <c r="M23" s="40"/>
      <c r="N23" s="41">
        <f t="shared" si="1"/>
        <v>9</v>
      </c>
      <c r="O23" s="53"/>
      <c r="P23" s="53"/>
      <c r="Q23" s="53"/>
      <c r="R23" s="53"/>
      <c r="S23" s="53"/>
      <c r="T23" s="53"/>
      <c r="U23" s="53"/>
      <c r="V23" s="53"/>
      <c r="W23" s="53"/>
      <c r="X23" s="53"/>
      <c r="Y23" s="53">
        <v>130</v>
      </c>
      <c r="Z23" s="53">
        <v>130</v>
      </c>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row>
    <row r="24" spans="1:72" s="43" customFormat="1" ht="31.5" customHeight="1" thickBot="1" x14ac:dyDescent="0.3">
      <c r="A24" s="147"/>
      <c r="B24" s="64" t="s">
        <v>63</v>
      </c>
      <c r="C24" s="66" t="s">
        <v>51</v>
      </c>
      <c r="D24" s="67">
        <v>3</v>
      </c>
      <c r="E24" s="68">
        <f t="shared" ca="1" si="5"/>
        <v>4</v>
      </c>
      <c r="F24" s="65"/>
      <c r="G24" s="66">
        <v>0</v>
      </c>
      <c r="H24" s="68">
        <f t="shared" ca="1" si="2"/>
        <v>-4</v>
      </c>
      <c r="I24" s="100">
        <f t="shared" si="3"/>
        <v>3</v>
      </c>
      <c r="J24" s="95">
        <f t="shared" si="4"/>
        <v>0</v>
      </c>
      <c r="K24" s="96">
        <v>46306</v>
      </c>
      <c r="L24" s="106">
        <v>46314</v>
      </c>
      <c r="M24" s="40"/>
      <c r="N24" s="41">
        <f t="shared" si="1"/>
        <v>9</v>
      </c>
      <c r="O24" s="53"/>
      <c r="P24" s="53"/>
      <c r="Q24" s="53"/>
      <c r="R24" s="53"/>
      <c r="S24" s="53"/>
      <c r="T24" s="53"/>
      <c r="U24" s="53"/>
      <c r="V24" s="53"/>
      <c r="W24" s="53"/>
      <c r="X24" s="53"/>
      <c r="Y24" s="53">
        <v>2</v>
      </c>
      <c r="Z24" s="53">
        <v>2</v>
      </c>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row>
    <row r="25" spans="1:72" s="43" customFormat="1" ht="31.5" customHeight="1" thickBot="1" x14ac:dyDescent="0.3">
      <c r="A25" s="147"/>
      <c r="B25" s="64" t="s">
        <v>65</v>
      </c>
      <c r="C25" s="66" t="s">
        <v>51</v>
      </c>
      <c r="D25" s="67">
        <v>2</v>
      </c>
      <c r="E25" s="68">
        <f t="shared" ca="1" si="5"/>
        <v>1</v>
      </c>
      <c r="F25" s="65"/>
      <c r="G25" s="66">
        <v>0</v>
      </c>
      <c r="H25" s="68">
        <f t="shared" ca="1" si="2"/>
        <v>-1</v>
      </c>
      <c r="I25" s="100">
        <f t="shared" si="3"/>
        <v>2</v>
      </c>
      <c r="J25" s="95">
        <f t="shared" si="4"/>
        <v>0</v>
      </c>
      <c r="K25" s="96">
        <v>46314</v>
      </c>
      <c r="L25" s="106">
        <v>46322</v>
      </c>
      <c r="M25" s="40"/>
      <c r="N25" s="41">
        <f t="shared" si="1"/>
        <v>9</v>
      </c>
      <c r="O25" s="53"/>
      <c r="P25" s="53"/>
      <c r="Q25" s="53"/>
      <c r="R25" s="53"/>
      <c r="S25" s="53"/>
      <c r="T25" s="53"/>
      <c r="U25" s="53"/>
      <c r="V25" s="53"/>
      <c r="W25" s="53"/>
      <c r="X25" s="53"/>
      <c r="Y25" s="53"/>
      <c r="Z25" s="53">
        <v>1</v>
      </c>
      <c r="AA25" s="53">
        <v>1</v>
      </c>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row>
    <row r="26" spans="1:72" s="43" customFormat="1" ht="31.5" customHeight="1" thickBot="1" x14ac:dyDescent="0.3">
      <c r="A26" s="147"/>
      <c r="B26" s="80" t="s">
        <v>66</v>
      </c>
      <c r="C26" s="46" t="s">
        <v>48</v>
      </c>
      <c r="D26" s="47">
        <v>260</v>
      </c>
      <c r="E26" s="82">
        <f t="shared" ca="1" si="5"/>
        <v>0</v>
      </c>
      <c r="F26" s="81"/>
      <c r="G26" s="46">
        <v>0</v>
      </c>
      <c r="H26" s="82">
        <f t="shared" ca="1" si="2"/>
        <v>0</v>
      </c>
      <c r="I26" s="101">
        <f t="shared" si="3"/>
        <v>260</v>
      </c>
      <c r="J26" s="95">
        <f t="shared" si="4"/>
        <v>0</v>
      </c>
      <c r="K26" s="96">
        <v>46344</v>
      </c>
      <c r="L26" s="105">
        <v>46355</v>
      </c>
      <c r="M26" s="40"/>
      <c r="N26" s="41">
        <f t="shared" si="1"/>
        <v>12</v>
      </c>
      <c r="O26" s="84"/>
      <c r="P26" s="84"/>
      <c r="Q26" s="84"/>
      <c r="R26" s="84"/>
      <c r="S26" s="84"/>
      <c r="T26" s="53"/>
      <c r="U26" s="53"/>
      <c r="V26" s="53"/>
      <c r="W26" s="53"/>
      <c r="X26" s="53"/>
      <c r="Y26" s="53"/>
      <c r="Z26" s="53"/>
      <c r="AA26" s="53"/>
      <c r="AB26" s="53"/>
      <c r="AC26" s="53"/>
      <c r="AD26" s="53">
        <v>100</v>
      </c>
      <c r="AE26" s="53">
        <v>100</v>
      </c>
      <c r="AF26" s="53">
        <v>60</v>
      </c>
      <c r="AG26" s="53"/>
      <c r="AH26" s="53"/>
      <c r="AI26" s="53"/>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row>
    <row r="27" spans="1:72" s="43" customFormat="1" ht="31.5" customHeight="1" thickBot="1" x14ac:dyDescent="0.3">
      <c r="A27" s="147" t="s">
        <v>67</v>
      </c>
      <c r="B27" s="75" t="s">
        <v>62</v>
      </c>
      <c r="C27" s="56" t="s">
        <v>48</v>
      </c>
      <c r="D27" s="57">
        <v>220</v>
      </c>
      <c r="E27" s="58">
        <f t="shared" ca="1" si="5"/>
        <v>0</v>
      </c>
      <c r="F27" s="76"/>
      <c r="G27" s="56">
        <v>0</v>
      </c>
      <c r="H27" s="58">
        <f t="shared" ca="1" si="2"/>
        <v>0</v>
      </c>
      <c r="I27" s="99">
        <f t="shared" si="3"/>
        <v>220</v>
      </c>
      <c r="J27" s="95">
        <f t="shared" si="4"/>
        <v>0</v>
      </c>
      <c r="K27" s="96">
        <v>46329</v>
      </c>
      <c r="L27" s="106">
        <v>46344</v>
      </c>
      <c r="M27" s="40"/>
      <c r="N27" s="41">
        <f t="shared" si="1"/>
        <v>16</v>
      </c>
      <c r="O27" s="53"/>
      <c r="P27" s="53"/>
      <c r="Q27" s="53"/>
      <c r="R27" s="53"/>
      <c r="S27" s="53"/>
      <c r="T27" s="53"/>
      <c r="U27" s="53"/>
      <c r="V27" s="53"/>
      <c r="W27" s="53"/>
      <c r="X27" s="53"/>
      <c r="Y27" s="53"/>
      <c r="Z27" s="53"/>
      <c r="AA27" s="53"/>
      <c r="AB27" s="53">
        <v>80</v>
      </c>
      <c r="AC27" s="53">
        <v>80</v>
      </c>
      <c r="AD27" s="53">
        <v>60</v>
      </c>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row>
    <row r="28" spans="1:72" s="43" customFormat="1" ht="31.5" customHeight="1" thickBot="1" x14ac:dyDescent="0.3">
      <c r="A28" s="147"/>
      <c r="B28" s="64" t="s">
        <v>63</v>
      </c>
      <c r="C28" s="66" t="s">
        <v>51</v>
      </c>
      <c r="D28" s="67">
        <v>2</v>
      </c>
      <c r="E28" s="68">
        <f t="shared" ca="1" si="5"/>
        <v>0</v>
      </c>
      <c r="F28" s="65"/>
      <c r="G28" s="66">
        <v>0</v>
      </c>
      <c r="H28" s="68">
        <f t="shared" ca="1" si="2"/>
        <v>0</v>
      </c>
      <c r="I28" s="100">
        <f t="shared" si="3"/>
        <v>2</v>
      </c>
      <c r="J28" s="95">
        <f t="shared" si="4"/>
        <v>0</v>
      </c>
      <c r="K28" s="96">
        <v>46336</v>
      </c>
      <c r="L28" s="106">
        <v>46344</v>
      </c>
      <c r="M28" s="40"/>
      <c r="N28" s="41">
        <f t="shared" si="1"/>
        <v>9</v>
      </c>
      <c r="O28" s="53"/>
      <c r="P28" s="53"/>
      <c r="Q28" s="53"/>
      <c r="R28" s="53"/>
      <c r="S28" s="53"/>
      <c r="T28" s="53"/>
      <c r="U28" s="53"/>
      <c r="V28" s="53"/>
      <c r="W28" s="53"/>
      <c r="X28" s="53"/>
      <c r="Y28" s="53"/>
      <c r="Z28" s="53"/>
      <c r="AA28" s="53"/>
      <c r="AB28" s="53"/>
      <c r="AC28" s="53">
        <v>1</v>
      </c>
      <c r="AD28" s="53">
        <v>1</v>
      </c>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row>
    <row r="29" spans="1:72" s="43" customFormat="1" ht="31.5" customHeight="1" thickBot="1" x14ac:dyDescent="0.3">
      <c r="A29" s="147"/>
      <c r="B29" s="80" t="s">
        <v>66</v>
      </c>
      <c r="C29" s="46" t="s">
        <v>48</v>
      </c>
      <c r="D29" s="47">
        <v>220</v>
      </c>
      <c r="E29" s="82">
        <f t="shared" ca="1" si="5"/>
        <v>0</v>
      </c>
      <c r="F29" s="81"/>
      <c r="G29" s="46">
        <v>0</v>
      </c>
      <c r="H29" s="82">
        <f t="shared" ca="1" si="2"/>
        <v>0</v>
      </c>
      <c r="I29" s="101">
        <f t="shared" si="3"/>
        <v>220</v>
      </c>
      <c r="J29" s="95">
        <f t="shared" si="4"/>
        <v>0</v>
      </c>
      <c r="K29" s="96">
        <v>46344</v>
      </c>
      <c r="L29" s="106">
        <v>46359</v>
      </c>
      <c r="M29" s="40"/>
      <c r="N29" s="41">
        <f t="shared" si="1"/>
        <v>16</v>
      </c>
      <c r="O29" s="53"/>
      <c r="P29" s="53"/>
      <c r="Q29" s="53"/>
      <c r="R29" s="53"/>
      <c r="S29" s="53"/>
      <c r="T29" s="53"/>
      <c r="U29" s="53"/>
      <c r="V29" s="53"/>
      <c r="W29" s="53"/>
      <c r="X29" s="53"/>
      <c r="Y29" s="53"/>
      <c r="Z29" s="53"/>
      <c r="AA29" s="53"/>
      <c r="AB29" s="53"/>
      <c r="AC29" s="53"/>
      <c r="AD29" s="53">
        <v>80</v>
      </c>
      <c r="AE29" s="53">
        <v>80</v>
      </c>
      <c r="AF29" s="53">
        <v>60</v>
      </c>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row>
    <row r="30" spans="1:72" s="43" customFormat="1" ht="31.5" customHeight="1" thickBot="1" x14ac:dyDescent="0.3">
      <c r="A30" s="147" t="s">
        <v>68</v>
      </c>
      <c r="B30" s="75" t="s">
        <v>69</v>
      </c>
      <c r="C30" s="33" t="s">
        <v>48</v>
      </c>
      <c r="D30" s="34">
        <v>480</v>
      </c>
      <c r="E30" s="35">
        <f t="shared" ca="1" si="5"/>
        <v>0</v>
      </c>
      <c r="F30" s="76"/>
      <c r="G30" s="33">
        <v>0</v>
      </c>
      <c r="H30" s="35">
        <f t="shared" ca="1" si="2"/>
        <v>0</v>
      </c>
      <c r="I30" s="94">
        <f t="shared" si="3"/>
        <v>480</v>
      </c>
      <c r="J30" s="95">
        <f t="shared" si="4"/>
        <v>0</v>
      </c>
      <c r="K30" s="96">
        <v>46359</v>
      </c>
      <c r="L30" s="106">
        <v>46371</v>
      </c>
      <c r="M30" s="40"/>
      <c r="N30" s="41">
        <f t="shared" si="1"/>
        <v>13</v>
      </c>
      <c r="O30" s="53"/>
      <c r="P30" s="53"/>
      <c r="Q30" s="53"/>
      <c r="R30" s="53"/>
      <c r="S30" s="53"/>
      <c r="T30" s="53"/>
      <c r="U30" s="53"/>
      <c r="V30" s="53"/>
      <c r="W30" s="53"/>
      <c r="X30" s="53"/>
      <c r="Y30" s="53"/>
      <c r="Z30" s="53"/>
      <c r="AA30" s="53"/>
      <c r="AB30" s="53"/>
      <c r="AC30" s="53"/>
      <c r="AE30" s="53"/>
      <c r="AF30" s="53">
        <v>180</v>
      </c>
      <c r="AG30" s="53">
        <v>150</v>
      </c>
      <c r="AH30" s="53">
        <v>150</v>
      </c>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row>
    <row r="31" spans="1:72" s="43" customFormat="1" ht="31.5" customHeight="1" thickBot="1" x14ac:dyDescent="0.3">
      <c r="A31" s="147"/>
      <c r="B31" s="64" t="s">
        <v>70</v>
      </c>
      <c r="C31" s="66" t="s">
        <v>51</v>
      </c>
      <c r="D31" s="67">
        <v>5</v>
      </c>
      <c r="E31" s="86">
        <f t="shared" ca="1" si="5"/>
        <v>0</v>
      </c>
      <c r="F31" s="65"/>
      <c r="G31" s="66">
        <v>0</v>
      </c>
      <c r="H31" s="86">
        <f t="shared" ca="1" si="2"/>
        <v>0</v>
      </c>
      <c r="I31" s="103">
        <f t="shared" si="3"/>
        <v>5</v>
      </c>
      <c r="J31" s="95">
        <f t="shared" si="4"/>
        <v>0</v>
      </c>
      <c r="K31" s="96">
        <v>46365</v>
      </c>
      <c r="L31" s="106">
        <v>46371</v>
      </c>
      <c r="M31" s="40"/>
      <c r="N31" s="41">
        <f t="shared" si="1"/>
        <v>7</v>
      </c>
      <c r="O31" s="53"/>
      <c r="P31" s="53"/>
      <c r="Q31" s="53"/>
      <c r="R31" s="53"/>
      <c r="S31" s="53"/>
      <c r="T31" s="53"/>
      <c r="U31" s="53"/>
      <c r="V31" s="53"/>
      <c r="W31" s="53"/>
      <c r="X31" s="53"/>
      <c r="Y31" s="53"/>
      <c r="Z31" s="53"/>
      <c r="AA31" s="53"/>
      <c r="AB31" s="53"/>
      <c r="AC31" s="53"/>
      <c r="AD31" s="53"/>
      <c r="AE31" s="53"/>
      <c r="AF31" s="53"/>
      <c r="AG31" s="53">
        <v>3</v>
      </c>
      <c r="AH31" s="53">
        <v>2</v>
      </c>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row>
    <row r="32" spans="1:72" s="43" customFormat="1" ht="31.5" customHeight="1" thickBot="1" x14ac:dyDescent="0.3">
      <c r="A32" s="147"/>
      <c r="B32" s="64" t="s">
        <v>71</v>
      </c>
      <c r="C32" s="66" t="s">
        <v>51</v>
      </c>
      <c r="D32" s="67">
        <v>5</v>
      </c>
      <c r="E32" s="86">
        <f t="shared" ca="1" si="5"/>
        <v>0</v>
      </c>
      <c r="F32" s="65"/>
      <c r="G32" s="66">
        <v>0</v>
      </c>
      <c r="H32" s="86">
        <f t="shared" ca="1" si="2"/>
        <v>0</v>
      </c>
      <c r="I32" s="103">
        <f t="shared" si="3"/>
        <v>5</v>
      </c>
      <c r="J32" s="95">
        <f t="shared" si="4"/>
        <v>0</v>
      </c>
      <c r="K32" s="96">
        <v>46366</v>
      </c>
      <c r="L32" s="106">
        <v>46372</v>
      </c>
      <c r="M32" s="40"/>
      <c r="N32" s="88">
        <f t="shared" si="1"/>
        <v>7</v>
      </c>
      <c r="O32" s="53"/>
      <c r="P32" s="53"/>
      <c r="Q32" s="53"/>
      <c r="R32" s="53"/>
      <c r="S32" s="53"/>
      <c r="T32" s="53"/>
      <c r="U32" s="53"/>
      <c r="V32" s="53"/>
      <c r="W32" s="53"/>
      <c r="X32" s="53"/>
      <c r="Y32" s="53"/>
      <c r="Z32" s="53"/>
      <c r="AA32" s="53"/>
      <c r="AB32" s="53"/>
      <c r="AC32" s="53"/>
      <c r="AD32" s="53"/>
      <c r="AE32" s="53"/>
      <c r="AF32" s="53"/>
      <c r="AG32" s="53">
        <v>3</v>
      </c>
      <c r="AH32" s="53">
        <v>2</v>
      </c>
      <c r="AI32" s="53"/>
      <c r="AJ32" s="53"/>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row>
    <row r="33" spans="1:36" ht="31.5" customHeight="1" thickBot="1" x14ac:dyDescent="0.3">
      <c r="A33" s="147"/>
      <c r="B33" s="64" t="s">
        <v>72</v>
      </c>
      <c r="C33" s="66" t="s">
        <v>51</v>
      </c>
      <c r="D33" s="67">
        <v>10</v>
      </c>
      <c r="E33" s="86">
        <f t="shared" ca="1" si="5"/>
        <v>0</v>
      </c>
      <c r="F33" s="65"/>
      <c r="G33" s="66">
        <v>0</v>
      </c>
      <c r="H33" s="86">
        <f t="shared" ca="1" si="2"/>
        <v>0</v>
      </c>
      <c r="I33" s="103">
        <f t="shared" si="3"/>
        <v>10</v>
      </c>
      <c r="J33" s="95">
        <f t="shared" si="4"/>
        <v>0</v>
      </c>
      <c r="K33" s="96">
        <v>46367</v>
      </c>
      <c r="L33" s="106">
        <v>46371</v>
      </c>
      <c r="M33" s="90"/>
      <c r="O33" s="53"/>
      <c r="P33" s="53"/>
      <c r="Q33" s="53"/>
      <c r="R33" s="53"/>
      <c r="S33" s="53"/>
      <c r="T33" s="53"/>
      <c r="U33" s="53"/>
      <c r="V33" s="53"/>
      <c r="W33" s="53"/>
      <c r="X33" s="53"/>
      <c r="Y33" s="53"/>
      <c r="Z33" s="53"/>
      <c r="AA33" s="53"/>
      <c r="AB33" s="53"/>
      <c r="AC33" s="53"/>
      <c r="AD33" s="53"/>
      <c r="AE33" s="53"/>
      <c r="AF33" s="53"/>
      <c r="AG33" s="53">
        <v>3</v>
      </c>
      <c r="AH33" s="53">
        <v>2</v>
      </c>
      <c r="AI33" s="53"/>
      <c r="AJ33" s="53"/>
    </row>
    <row r="34" spans="1:36" ht="31.5" customHeight="1" thickBot="1" x14ac:dyDescent="0.3">
      <c r="A34" s="147" t="s">
        <v>74</v>
      </c>
      <c r="B34" s="75" t="s">
        <v>75</v>
      </c>
      <c r="C34" s="33" t="s">
        <v>48</v>
      </c>
      <c r="D34" s="34">
        <v>550</v>
      </c>
      <c r="E34" s="35">
        <f t="shared" ca="1" si="5"/>
        <v>0</v>
      </c>
      <c r="F34" s="76"/>
      <c r="G34" s="33">
        <v>0</v>
      </c>
      <c r="H34" s="35">
        <f t="shared" ca="1" si="2"/>
        <v>0</v>
      </c>
      <c r="I34" s="94">
        <f t="shared" si="3"/>
        <v>550</v>
      </c>
      <c r="J34" s="95">
        <f t="shared" si="4"/>
        <v>0</v>
      </c>
      <c r="K34" s="96">
        <v>46359</v>
      </c>
      <c r="L34" s="106">
        <v>46365</v>
      </c>
      <c r="O34" s="53"/>
      <c r="P34" s="53"/>
      <c r="Q34" s="53"/>
      <c r="R34" s="53"/>
      <c r="S34" s="53"/>
      <c r="T34" s="53"/>
      <c r="U34" s="53"/>
      <c r="V34" s="53"/>
      <c r="W34" s="53"/>
      <c r="X34" s="53"/>
      <c r="Y34" s="53"/>
      <c r="Z34" s="53"/>
      <c r="AA34" s="53"/>
      <c r="AB34" s="53"/>
      <c r="AC34" s="53"/>
      <c r="AD34" s="53"/>
      <c r="AE34" s="53"/>
      <c r="AF34" s="53">
        <v>300</v>
      </c>
      <c r="AG34" s="53">
        <v>250</v>
      </c>
      <c r="AH34" s="53"/>
      <c r="AI34" s="53"/>
      <c r="AJ34" s="53"/>
    </row>
    <row r="35" spans="1:36" ht="31.5" customHeight="1" thickBot="1" x14ac:dyDescent="0.3">
      <c r="A35" s="147"/>
      <c r="B35" s="80" t="s">
        <v>76</v>
      </c>
      <c r="C35" s="46" t="s">
        <v>51</v>
      </c>
      <c r="D35" s="47">
        <v>2</v>
      </c>
      <c r="E35" s="48">
        <f t="shared" ca="1" si="5"/>
        <v>0</v>
      </c>
      <c r="F35" s="81"/>
      <c r="G35" s="46">
        <v>0</v>
      </c>
      <c r="H35" s="48">
        <f t="shared" ca="1" si="2"/>
        <v>0</v>
      </c>
      <c r="I35" s="98">
        <f t="shared" si="3"/>
        <v>2</v>
      </c>
      <c r="J35" s="95">
        <f t="shared" si="4"/>
        <v>0</v>
      </c>
      <c r="K35" s="96">
        <v>46359</v>
      </c>
      <c r="L35" s="106">
        <v>46366</v>
      </c>
      <c r="O35" s="53"/>
      <c r="P35" s="53"/>
      <c r="Q35" s="53"/>
      <c r="R35" s="53"/>
      <c r="S35" s="53"/>
      <c r="T35" s="53"/>
      <c r="U35" s="53"/>
      <c r="V35" s="53"/>
      <c r="W35" s="53"/>
      <c r="X35" s="53"/>
      <c r="Y35" s="53"/>
      <c r="Z35" s="53"/>
      <c r="AA35" s="53"/>
      <c r="AB35" s="53"/>
      <c r="AC35" s="53"/>
      <c r="AD35" s="53"/>
      <c r="AE35" s="53"/>
      <c r="AF35" s="53">
        <v>1</v>
      </c>
      <c r="AG35" s="53">
        <v>1</v>
      </c>
      <c r="AH35" s="53"/>
      <c r="AI35" s="53"/>
      <c r="AJ35" s="53"/>
    </row>
    <row r="36" spans="1:36" ht="31.5" customHeight="1" thickBot="1" x14ac:dyDescent="0.3">
      <c r="A36" s="147" t="s">
        <v>77</v>
      </c>
      <c r="B36" s="64" t="s">
        <v>78</v>
      </c>
      <c r="C36" s="66" t="s">
        <v>44</v>
      </c>
      <c r="D36" s="67">
        <v>2700</v>
      </c>
      <c r="E36" s="86">
        <f t="shared" ca="1" si="5"/>
        <v>0</v>
      </c>
      <c r="F36" s="65"/>
      <c r="G36" s="66">
        <v>0</v>
      </c>
      <c r="H36" s="86">
        <f t="shared" ca="1" si="2"/>
        <v>0</v>
      </c>
      <c r="I36" s="103">
        <f t="shared" si="3"/>
        <v>2700</v>
      </c>
      <c r="J36" s="95">
        <f t="shared" si="4"/>
        <v>0</v>
      </c>
      <c r="K36" s="96">
        <v>46359</v>
      </c>
      <c r="L36" s="106">
        <v>46363</v>
      </c>
      <c r="O36" s="53"/>
      <c r="P36" s="53"/>
      <c r="Q36" s="53"/>
      <c r="R36" s="53"/>
      <c r="S36" s="53"/>
      <c r="T36" s="53"/>
      <c r="U36" s="53"/>
      <c r="V36" s="53"/>
      <c r="W36" s="53"/>
      <c r="X36" s="53"/>
      <c r="Y36" s="53"/>
      <c r="Z36" s="53"/>
      <c r="AA36" s="53"/>
      <c r="AB36" s="53"/>
      <c r="AC36" s="53"/>
      <c r="AD36" s="53"/>
      <c r="AE36" s="53"/>
      <c r="AF36" s="53">
        <v>1700</v>
      </c>
      <c r="AG36" s="53">
        <v>1000</v>
      </c>
      <c r="AH36" s="53"/>
      <c r="AI36" s="53"/>
      <c r="AJ36" s="53"/>
    </row>
    <row r="37" spans="1:36" ht="31.5" customHeight="1" thickBot="1" x14ac:dyDescent="0.3">
      <c r="A37" s="147"/>
      <c r="B37" s="64" t="s">
        <v>79</v>
      </c>
      <c r="C37" s="66" t="s">
        <v>44</v>
      </c>
      <c r="D37" s="67">
        <v>930</v>
      </c>
      <c r="E37" s="86">
        <f t="shared" ca="1" si="5"/>
        <v>0</v>
      </c>
      <c r="F37" s="65"/>
      <c r="G37" s="66">
        <v>0</v>
      </c>
      <c r="H37" s="86">
        <f t="shared" ca="1" si="2"/>
        <v>0</v>
      </c>
      <c r="I37" s="103">
        <f t="shared" si="3"/>
        <v>930</v>
      </c>
      <c r="J37" s="95">
        <f t="shared" si="4"/>
        <v>0</v>
      </c>
      <c r="K37" s="96">
        <v>46364</v>
      </c>
      <c r="L37" s="106">
        <v>46369</v>
      </c>
      <c r="O37" s="53"/>
      <c r="P37" s="53"/>
      <c r="Q37" s="53"/>
      <c r="R37" s="53"/>
      <c r="S37" s="53"/>
      <c r="T37" s="53"/>
      <c r="U37" s="53"/>
      <c r="V37" s="53"/>
      <c r="W37" s="53"/>
      <c r="X37" s="53"/>
      <c r="Y37" s="53"/>
      <c r="Z37" s="53"/>
      <c r="AA37" s="53"/>
      <c r="AB37" s="53"/>
      <c r="AC37" s="53"/>
      <c r="AD37" s="53"/>
      <c r="AE37" s="53"/>
      <c r="AF37" s="53"/>
      <c r="AG37" s="53">
        <v>500</v>
      </c>
      <c r="AH37" s="53">
        <v>430</v>
      </c>
      <c r="AI37" s="53"/>
      <c r="AJ37" s="53"/>
    </row>
    <row r="38" spans="1:36" ht="31.5" customHeight="1" thickBot="1" x14ac:dyDescent="0.3">
      <c r="A38" s="147"/>
      <c r="B38" s="64" t="s">
        <v>80</v>
      </c>
      <c r="C38" s="66" t="s">
        <v>44</v>
      </c>
      <c r="D38" s="67">
        <v>187.5</v>
      </c>
      <c r="E38" s="86">
        <f t="shared" ca="1" si="5"/>
        <v>0</v>
      </c>
      <c r="F38" s="65"/>
      <c r="G38" s="66">
        <v>0</v>
      </c>
      <c r="H38" s="86">
        <f t="shared" ca="1" si="2"/>
        <v>0</v>
      </c>
      <c r="I38" s="103">
        <f t="shared" si="3"/>
        <v>187.5</v>
      </c>
      <c r="J38" s="95">
        <f t="shared" si="4"/>
        <v>0</v>
      </c>
      <c r="K38" s="96">
        <v>46370</v>
      </c>
      <c r="L38" s="106">
        <v>46371</v>
      </c>
      <c r="O38" s="53"/>
      <c r="P38" s="53"/>
      <c r="Q38" s="53"/>
      <c r="R38" s="53"/>
      <c r="S38" s="53"/>
      <c r="T38" s="53"/>
      <c r="U38" s="53"/>
      <c r="V38" s="53"/>
      <c r="W38" s="53"/>
      <c r="X38" s="53"/>
      <c r="Y38" s="53"/>
      <c r="Z38" s="53"/>
      <c r="AA38" s="53"/>
      <c r="AB38" s="53"/>
      <c r="AC38" s="53"/>
      <c r="AD38" s="53"/>
      <c r="AE38" s="53"/>
      <c r="AF38" s="53"/>
      <c r="AG38" s="53"/>
      <c r="AH38" s="53">
        <v>188</v>
      </c>
      <c r="AI38" s="53"/>
      <c r="AJ38" s="53"/>
    </row>
    <row r="39" spans="1:36" ht="31.5" customHeight="1" thickBot="1" x14ac:dyDescent="0.3">
      <c r="A39" s="147"/>
      <c r="B39" s="64" t="s">
        <v>81</v>
      </c>
      <c r="C39" s="66" t="s">
        <v>44</v>
      </c>
      <c r="D39" s="67">
        <v>187.5</v>
      </c>
      <c r="E39" s="86">
        <f t="shared" ca="1" si="5"/>
        <v>0</v>
      </c>
      <c r="F39" s="65"/>
      <c r="G39" s="66">
        <v>0</v>
      </c>
      <c r="H39" s="86">
        <f t="shared" ca="1" si="2"/>
        <v>0</v>
      </c>
      <c r="I39" s="103">
        <f t="shared" si="3"/>
        <v>187.5</v>
      </c>
      <c r="J39" s="95">
        <f t="shared" si="4"/>
        <v>0</v>
      </c>
      <c r="K39" s="96">
        <v>46373</v>
      </c>
      <c r="L39" s="106">
        <v>46374</v>
      </c>
      <c r="O39" s="53"/>
      <c r="P39" s="53"/>
      <c r="Q39" s="53"/>
      <c r="R39" s="53"/>
      <c r="S39" s="53"/>
      <c r="T39" s="53"/>
      <c r="U39" s="53"/>
      <c r="V39" s="53"/>
      <c r="W39" s="53"/>
      <c r="X39" s="53"/>
      <c r="Y39" s="53"/>
      <c r="Z39" s="53"/>
      <c r="AA39" s="53"/>
      <c r="AB39" s="53"/>
      <c r="AC39" s="53"/>
      <c r="AD39" s="53"/>
      <c r="AE39" s="53"/>
      <c r="AF39" s="53"/>
      <c r="AG39" s="53"/>
      <c r="AH39" s="53">
        <v>188</v>
      </c>
      <c r="AI39" s="53"/>
      <c r="AJ39" s="53"/>
    </row>
    <row r="40" spans="1:36" ht="31.5" customHeight="1" thickBot="1" x14ac:dyDescent="0.3">
      <c r="A40" s="147"/>
      <c r="B40" s="64" t="s">
        <v>82</v>
      </c>
      <c r="C40" s="66" t="s">
        <v>48</v>
      </c>
      <c r="D40" s="67">
        <v>1500</v>
      </c>
      <c r="E40" s="86">
        <f t="shared" ca="1" si="5"/>
        <v>0</v>
      </c>
      <c r="F40" s="65"/>
      <c r="G40" s="66">
        <v>0</v>
      </c>
      <c r="H40" s="86">
        <f t="shared" ca="1" si="2"/>
        <v>0</v>
      </c>
      <c r="I40" s="103">
        <f t="shared" si="3"/>
        <v>1500</v>
      </c>
      <c r="J40" s="95">
        <f t="shared" si="4"/>
        <v>0</v>
      </c>
      <c r="K40" s="96">
        <v>46371</v>
      </c>
      <c r="L40" s="106">
        <v>46373</v>
      </c>
      <c r="O40" s="53"/>
      <c r="P40" s="53"/>
      <c r="Q40" s="53"/>
      <c r="R40" s="53"/>
      <c r="S40" s="53"/>
      <c r="T40" s="53"/>
      <c r="U40" s="53"/>
      <c r="V40" s="53"/>
      <c r="W40" s="53"/>
      <c r="X40" s="53"/>
      <c r="Y40" s="53"/>
      <c r="Z40" s="53"/>
      <c r="AA40" s="53"/>
      <c r="AB40" s="53"/>
      <c r="AC40" s="53"/>
      <c r="AD40" s="53"/>
      <c r="AE40" s="53"/>
      <c r="AF40" s="53"/>
      <c r="AG40" s="53"/>
      <c r="AH40" s="53">
        <v>1500</v>
      </c>
      <c r="AI40" s="53"/>
      <c r="AJ40" s="53"/>
    </row>
    <row r="41" spans="1:36" ht="31.5" customHeight="1" thickBot="1" x14ac:dyDescent="0.3">
      <c r="A41" s="147"/>
      <c r="B41" s="64" t="s">
        <v>83</v>
      </c>
      <c r="C41" s="66" t="s">
        <v>84</v>
      </c>
      <c r="D41" s="67">
        <v>2500</v>
      </c>
      <c r="E41" s="86">
        <f t="shared" ca="1" si="5"/>
        <v>0</v>
      </c>
      <c r="F41" s="65"/>
      <c r="G41" s="66">
        <v>0</v>
      </c>
      <c r="H41" s="86">
        <f t="shared" ca="1" si="2"/>
        <v>0</v>
      </c>
      <c r="I41" s="103">
        <f t="shared" si="3"/>
        <v>2500</v>
      </c>
      <c r="J41" s="95">
        <f t="shared" si="4"/>
        <v>0</v>
      </c>
      <c r="K41" s="96">
        <v>46373</v>
      </c>
      <c r="L41" s="106">
        <v>46377</v>
      </c>
      <c r="O41" s="53"/>
      <c r="P41" s="53"/>
      <c r="Q41" s="53"/>
      <c r="R41" s="53"/>
      <c r="S41" s="53"/>
      <c r="T41" s="53"/>
      <c r="U41" s="53"/>
      <c r="V41" s="53"/>
      <c r="W41" s="53"/>
      <c r="X41" s="53"/>
      <c r="Y41" s="53"/>
      <c r="Z41" s="53"/>
      <c r="AA41" s="53"/>
      <c r="AB41" s="53"/>
      <c r="AC41" s="53"/>
      <c r="AD41" s="53"/>
      <c r="AE41" s="53"/>
      <c r="AF41" s="53"/>
      <c r="AG41" s="53"/>
      <c r="AH41" s="53">
        <v>1500</v>
      </c>
      <c r="AI41" s="53">
        <v>1000</v>
      </c>
      <c r="AJ41" s="53"/>
    </row>
    <row r="42" spans="1:36" ht="31.5" customHeight="1" thickBot="1" x14ac:dyDescent="0.3">
      <c r="A42" s="147"/>
      <c r="B42" s="80" t="s">
        <v>85</v>
      </c>
      <c r="C42" s="46" t="s">
        <v>84</v>
      </c>
      <c r="D42" s="47">
        <v>150</v>
      </c>
      <c r="E42" s="48">
        <f t="shared" ca="1" si="5"/>
        <v>0</v>
      </c>
      <c r="F42" s="81"/>
      <c r="G42" s="46">
        <v>0</v>
      </c>
      <c r="H42" s="48">
        <f t="shared" ca="1" si="2"/>
        <v>0</v>
      </c>
      <c r="I42" s="98">
        <f t="shared" si="3"/>
        <v>150</v>
      </c>
      <c r="J42" s="95">
        <f t="shared" si="4"/>
        <v>0</v>
      </c>
      <c r="K42" s="96">
        <v>46376</v>
      </c>
      <c r="L42" s="106">
        <v>46377</v>
      </c>
      <c r="O42" s="53"/>
      <c r="P42" s="53"/>
      <c r="Q42" s="53"/>
      <c r="R42" s="53"/>
      <c r="S42" s="53"/>
      <c r="T42" s="53"/>
      <c r="U42" s="53"/>
      <c r="V42" s="53"/>
      <c r="W42" s="53"/>
      <c r="X42" s="53"/>
      <c r="Y42" s="53"/>
      <c r="Z42" s="53"/>
      <c r="AA42" s="53"/>
      <c r="AB42" s="53"/>
      <c r="AC42" s="53"/>
      <c r="AD42" s="53"/>
      <c r="AE42" s="53"/>
      <c r="AF42" s="53"/>
      <c r="AG42" s="53"/>
      <c r="AH42" s="53"/>
      <c r="AI42" s="53">
        <v>150</v>
      </c>
      <c r="AJ42" s="53"/>
    </row>
  </sheetData>
  <mergeCells count="22">
    <mergeCell ref="A1:K1"/>
    <mergeCell ref="O4:AJ4"/>
    <mergeCell ref="A5:A6"/>
    <mergeCell ref="B5:B6"/>
    <mergeCell ref="C5:C6"/>
    <mergeCell ref="D5:D6"/>
    <mergeCell ref="E5:E6"/>
    <mergeCell ref="F5:F6"/>
    <mergeCell ref="G5:G6"/>
    <mergeCell ref="H5:H6"/>
    <mergeCell ref="I5:I6"/>
    <mergeCell ref="J5:J6"/>
    <mergeCell ref="K5:K6"/>
    <mergeCell ref="L5:L6"/>
    <mergeCell ref="A30:A33"/>
    <mergeCell ref="A34:A35"/>
    <mergeCell ref="A36:A42"/>
    <mergeCell ref="A8:A9"/>
    <mergeCell ref="A10:A17"/>
    <mergeCell ref="A18:A22"/>
    <mergeCell ref="A23:A26"/>
    <mergeCell ref="A27:A29"/>
  </mergeCells>
  <conditionalFormatting sqref="H8:H42">
    <cfRule type="cellIs" dxfId="30" priority="1" operator="lessThan">
      <formula>0</formula>
    </cfRule>
    <cfRule type="cellIs" dxfId="29" priority="2" operator="greaterThan">
      <formula>0</formula>
    </cfRule>
  </conditionalFormatting>
  <conditionalFormatting sqref="J7:J42">
    <cfRule type="dataBar" priority="12">
      <dataBar>
        <cfvo type="num" val="0"/>
        <cfvo type="num" val="1"/>
        <color rgb="FFFFFFFF"/>
      </dataBar>
      <extLst>
        <ext xmlns:x14="http://schemas.microsoft.com/office/spreadsheetml/2009/9/main" uri="{B025F937-C7B1-47D3-B67F-A62EFF666E3E}">
          <x14:id>{E22F6E59-60AA-4D3F-AF37-F039DA29E864}</x14:id>
        </ext>
      </extLst>
    </cfRule>
  </conditionalFormatting>
  <conditionalFormatting sqref="J8:J42">
    <cfRule type="cellIs" dxfId="28" priority="5" operator="equal">
      <formula>100</formula>
    </cfRule>
    <cfRule type="cellIs" dxfId="27" priority="6" operator="equal">
      <formula>0</formula>
    </cfRule>
    <cfRule type="cellIs" dxfId="26" priority="7" operator="between">
      <formula>1</formula>
      <formula>99</formula>
    </cfRule>
    <cfRule type="cellIs" dxfId="25" priority="8" operator="greaterThan">
      <formula>0</formula>
    </cfRule>
  </conditionalFormatting>
  <conditionalFormatting sqref="J14">
    <cfRule type="cellIs" dxfId="24" priority="4" operator="equal">
      <formula>1</formula>
    </cfRule>
  </conditionalFormatting>
  <conditionalFormatting sqref="O5:AJ29 O30:AC30 AE30:AJ30 O31:AJ42">
    <cfRule type="expression" dxfId="23" priority="11">
      <formula>AND(TODAY()&gt;=O$5,TODAY()&lt;O$5+7)</formula>
    </cfRule>
  </conditionalFormatting>
  <conditionalFormatting sqref="O8:AJ29 O30:AC30 AE30:AJ30 O31:AJ42">
    <cfRule type="expression" dxfId="22" priority="9">
      <formula>AND(task_progress&gt;0,task_start&lt;=O$5+6,ROUNDDOWN((task_end-task_start+1)*task_progress,0)+task_start-1&gt;=O$5)</formula>
    </cfRule>
    <cfRule type="expression" dxfId="21" priority="10">
      <formula>AND(task_end&gt;=O$5,task_start&lt;=O$5+6)</formula>
    </cfRule>
  </conditionalFormatting>
  <dataValidations count="6">
    <dataValidation type="whole" operator="greaterThanOrEqual" allowBlank="1" showInputMessage="1" promptTitle="Display Week" prompt="Changing this number will scroll the Gantt Chart view." sqref="Y2" xr:uid="{00000000-0002-0000-0200-000000000000}">
      <formula1>1</formula1>
      <formula2>0</formula2>
    </dataValidation>
    <dataValidation allowBlank="1" showInputMessage="1" showErrorMessage="1" prompt="Enter Company name in cel B2." sqref="A2" xr:uid="{00000000-0002-0000-02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2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2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2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200-000005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E22F6E59-60AA-4D3F-AF37-F039DA29E864}">
            <x14:dataBar axisPosition="none">
              <x14:cfvo type="num">
                <xm:f>0</xm:f>
              </x14:cfvo>
              <x14:cfvo type="num">
                <xm:f>1</xm:f>
              </x14:cfvo>
              <x14:negativeFillColor rgb="FFFFFFFF"/>
            </x14:dataBar>
          </x14:cfRule>
          <xm:sqref>J7:J42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Y34"/>
  <sheetViews>
    <sheetView showGridLines="0" rightToLeft="1" view="pageBreakPreview" zoomScale="55" zoomScaleNormal="40" zoomScalePageLayoutView="55" workbookViewId="0">
      <selection activeCell="F10" sqref="F10"/>
    </sheetView>
  </sheetViews>
  <sheetFormatPr defaultColWidth="8.69921875" defaultRowHeight="13.8" x14ac:dyDescent="0.25"/>
  <cols>
    <col min="1" max="1" width="29.796875" style="1" customWidth="1"/>
    <col min="2" max="2" width="43.69921875" customWidth="1"/>
    <col min="3" max="3" width="10.19921875" customWidth="1"/>
    <col min="4" max="6" width="22.69921875" customWidth="1"/>
    <col min="7" max="7" width="22.69921875" hidden="1" customWidth="1"/>
    <col min="8" max="8" width="22.69921875" customWidth="1"/>
    <col min="9" max="9" width="22.69921875" hidden="1" customWidth="1"/>
    <col min="10" max="10" width="22.69921875" customWidth="1"/>
    <col min="11" max="11" width="30.796875" customWidth="1"/>
    <col min="12" max="12" width="19.3984375" style="2" customWidth="1"/>
    <col min="13" max="13" width="23.796875" customWidth="1"/>
    <col min="14" max="14" width="1.3984375" customWidth="1"/>
    <col min="15" max="15" width="6" hidden="1" customWidth="1"/>
    <col min="16" max="16" width="8.5" customWidth="1"/>
    <col min="17" max="17" width="9.59765625" customWidth="1"/>
    <col min="18" max="72" width="8.5" customWidth="1"/>
  </cols>
  <sheetData>
    <row r="1" spans="1:129" ht="72" customHeight="1" x14ac:dyDescent="1.45">
      <c r="A1" s="137" t="s">
        <v>0</v>
      </c>
      <c r="B1" s="137"/>
      <c r="C1" s="137"/>
      <c r="D1" s="137"/>
      <c r="E1" s="137"/>
      <c r="F1" s="137"/>
      <c r="G1" s="137"/>
      <c r="H1" s="137"/>
      <c r="I1" s="137"/>
      <c r="J1" s="137"/>
      <c r="K1" s="137"/>
      <c r="L1" s="137"/>
      <c r="M1" s="3"/>
      <c r="O1" s="4"/>
      <c r="P1" s="5" t="s">
        <v>1</v>
      </c>
      <c r="Q1" s="6">
        <f ca="1">TODAY()</f>
        <v>46315</v>
      </c>
      <c r="Y1" s="7"/>
      <c r="Z1" s="8"/>
    </row>
    <row r="2" spans="1:129" ht="30" customHeight="1" x14ac:dyDescent="0.6">
      <c r="B2" s="9"/>
      <c r="C2" s="9"/>
      <c r="D2" s="9"/>
      <c r="E2" s="9"/>
      <c r="F2" s="9"/>
      <c r="G2" s="9"/>
      <c r="H2" s="9"/>
      <c r="I2" s="9"/>
      <c r="J2" s="9"/>
      <c r="P2" s="10" t="s">
        <v>2</v>
      </c>
      <c r="Q2" s="11" t="str">
        <f ca="1">IF(TODAY()&lt;$P$5,"-","أسبوع " &amp; ROUNDUP((TODAY()-$P$5+1)/7,0))</f>
        <v>أسبوع 10</v>
      </c>
      <c r="Y2" s="7"/>
      <c r="Z2" s="12"/>
    </row>
    <row r="3" spans="1:129" ht="30" customHeight="1" x14ac:dyDescent="0.25">
      <c r="B3" s="13"/>
      <c r="C3" s="13"/>
      <c r="D3" s="13"/>
      <c r="E3" s="13"/>
      <c r="F3" s="13"/>
      <c r="G3" s="13"/>
      <c r="H3" s="13"/>
      <c r="I3" s="13"/>
      <c r="J3" s="13"/>
      <c r="K3" s="14"/>
      <c r="P3" s="15" t="s">
        <v>3</v>
      </c>
      <c r="Q3" s="16" t="s">
        <v>4</v>
      </c>
      <c r="R3" s="17" t="s">
        <v>5</v>
      </c>
    </row>
    <row r="4" spans="1:129" ht="18" customHeight="1" x14ac:dyDescent="0.25">
      <c r="A4" s="18"/>
      <c r="B4" s="19"/>
      <c r="C4" s="19"/>
      <c r="D4" s="19"/>
      <c r="E4" s="19"/>
      <c r="F4" s="19"/>
      <c r="G4" s="19"/>
      <c r="H4" s="19"/>
      <c r="I4" s="19"/>
      <c r="J4" s="19"/>
      <c r="L4" s="20"/>
      <c r="P4" s="138" t="s">
        <v>6</v>
      </c>
      <c r="Q4" s="138"/>
      <c r="R4" s="138"/>
      <c r="S4" s="138"/>
      <c r="T4" s="138"/>
      <c r="U4" s="138"/>
      <c r="V4" s="138"/>
      <c r="W4" s="138"/>
      <c r="X4" s="138"/>
      <c r="Y4" s="138"/>
      <c r="Z4" s="138"/>
      <c r="AA4" s="138"/>
      <c r="AB4" s="138"/>
      <c r="AC4" s="138"/>
      <c r="AD4" s="138"/>
      <c r="AE4" s="138"/>
      <c r="AF4" s="138"/>
      <c r="AG4" s="138"/>
      <c r="AH4" s="138"/>
      <c r="AI4" s="138"/>
      <c r="AJ4" s="138"/>
      <c r="AK4" s="138"/>
      <c r="AM4" s="21"/>
      <c r="AT4" s="21"/>
      <c r="BA4" s="21"/>
      <c r="BH4" s="21"/>
      <c r="BO4" s="21"/>
      <c r="BV4" s="21"/>
      <c r="CC4" s="21"/>
      <c r="CJ4" s="21"/>
      <c r="CQ4" s="21"/>
      <c r="CX4" s="21"/>
      <c r="DE4" s="21"/>
      <c r="DL4" s="21"/>
      <c r="DS4" s="21"/>
    </row>
    <row r="5" spans="1:129" ht="13.5" customHeight="1" x14ac:dyDescent="0.25">
      <c r="A5" s="140" t="s">
        <v>7</v>
      </c>
      <c r="B5" s="140" t="s">
        <v>8</v>
      </c>
      <c r="C5" s="141" t="s">
        <v>9</v>
      </c>
      <c r="D5" s="142" t="s">
        <v>10</v>
      </c>
      <c r="E5" s="142" t="s">
        <v>11</v>
      </c>
      <c r="F5" s="142" t="s">
        <v>12</v>
      </c>
      <c r="G5" s="142" t="s">
        <v>14</v>
      </c>
      <c r="H5" s="143" t="s">
        <v>14</v>
      </c>
      <c r="I5" s="143" t="s">
        <v>15</v>
      </c>
      <c r="J5" s="144" t="s">
        <v>16</v>
      </c>
      <c r="K5" s="145" t="s">
        <v>17</v>
      </c>
      <c r="L5" s="145" t="s">
        <v>18</v>
      </c>
      <c r="M5" s="146" t="s">
        <v>19</v>
      </c>
      <c r="P5" s="22">
        <v>46250</v>
      </c>
      <c r="Q5" s="22">
        <f>P5+7</f>
        <v>46257</v>
      </c>
      <c r="R5" s="22">
        <f>Q5+7</f>
        <v>46264</v>
      </c>
      <c r="S5" s="22">
        <f>R5+7</f>
        <v>46271</v>
      </c>
      <c r="T5" s="22">
        <f>S5+7</f>
        <v>46278</v>
      </c>
      <c r="U5" s="22">
        <f>T5+7</f>
        <v>46285</v>
      </c>
      <c r="V5" s="22"/>
      <c r="W5" s="22"/>
      <c r="X5" s="22">
        <f>U5+7</f>
        <v>46292</v>
      </c>
      <c r="Y5" s="22">
        <f t="shared" ref="Y5:AK5" si="0">X5+7</f>
        <v>46299</v>
      </c>
      <c r="Z5" s="22">
        <f t="shared" si="0"/>
        <v>46306</v>
      </c>
      <c r="AA5" s="22">
        <f t="shared" si="0"/>
        <v>46313</v>
      </c>
      <c r="AB5" s="22">
        <f t="shared" si="0"/>
        <v>46320</v>
      </c>
      <c r="AC5" s="22">
        <f t="shared" si="0"/>
        <v>46327</v>
      </c>
      <c r="AD5" s="22">
        <f t="shared" si="0"/>
        <v>46334</v>
      </c>
      <c r="AE5" s="22">
        <f t="shared" si="0"/>
        <v>46341</v>
      </c>
      <c r="AF5" s="22">
        <f t="shared" si="0"/>
        <v>46348</v>
      </c>
      <c r="AG5" s="22">
        <f t="shared" si="0"/>
        <v>46355</v>
      </c>
      <c r="AH5" s="22">
        <f t="shared" si="0"/>
        <v>46362</v>
      </c>
      <c r="AI5" s="22">
        <f t="shared" si="0"/>
        <v>46369</v>
      </c>
      <c r="AJ5" s="22">
        <f t="shared" si="0"/>
        <v>46376</v>
      </c>
      <c r="AK5" s="22">
        <f t="shared" si="0"/>
        <v>46383</v>
      </c>
      <c r="AL5" s="23"/>
      <c r="AM5" s="24"/>
      <c r="AN5" s="25"/>
      <c r="AO5" s="25"/>
      <c r="AP5" s="25"/>
      <c r="AQ5" s="25"/>
      <c r="AR5" s="25"/>
      <c r="AS5" s="23"/>
      <c r="AT5" s="24"/>
      <c r="AU5" s="25"/>
      <c r="AV5" s="25"/>
      <c r="AW5" s="25"/>
      <c r="AX5" s="25"/>
      <c r="AY5" s="25"/>
      <c r="AZ5" s="23"/>
      <c r="BA5" s="24"/>
      <c r="BB5" s="25"/>
      <c r="BC5" s="25"/>
      <c r="BD5" s="25"/>
      <c r="BE5" s="25"/>
      <c r="BF5" s="25"/>
      <c r="BG5" s="23"/>
      <c r="BH5" s="24"/>
      <c r="BI5" s="25"/>
      <c r="BJ5" s="25"/>
      <c r="BK5" s="25"/>
      <c r="BL5" s="25"/>
      <c r="BM5" s="25"/>
      <c r="BN5" s="23"/>
      <c r="BO5" s="24"/>
      <c r="BP5" s="25"/>
      <c r="BQ5" s="25"/>
      <c r="BR5" s="25"/>
      <c r="BS5" s="25"/>
      <c r="BT5" s="25"/>
      <c r="BU5" s="25"/>
      <c r="BV5" s="24"/>
      <c r="BW5" s="25"/>
      <c r="BX5" s="25"/>
      <c r="BY5" s="25"/>
      <c r="BZ5" s="25"/>
      <c r="CA5" s="25"/>
      <c r="CB5" s="23"/>
      <c r="CC5" s="24"/>
      <c r="CD5" s="24"/>
      <c r="CE5" s="25"/>
      <c r="CF5" s="25"/>
      <c r="CG5" s="25"/>
      <c r="CH5" s="25"/>
      <c r="CI5" s="25"/>
      <c r="CJ5" s="23"/>
      <c r="CK5" s="24"/>
      <c r="CL5" s="25"/>
      <c r="CM5" s="25"/>
      <c r="CN5" s="25"/>
      <c r="CO5" s="25"/>
      <c r="CP5" s="25"/>
      <c r="CQ5" s="23"/>
      <c r="CR5" s="24"/>
      <c r="CS5" s="24"/>
      <c r="CT5" s="25"/>
      <c r="CU5" s="25"/>
      <c r="CV5" s="25"/>
      <c r="CW5" s="25"/>
      <c r="CX5" s="25"/>
      <c r="CY5" s="23"/>
      <c r="CZ5" s="24"/>
      <c r="DA5" s="24"/>
      <c r="DB5" s="25"/>
      <c r="DC5" s="25"/>
      <c r="DD5" s="25"/>
      <c r="DE5" s="25"/>
      <c r="DF5" s="25"/>
      <c r="DG5" s="23"/>
      <c r="DH5" s="24"/>
      <c r="DI5" s="24"/>
      <c r="DJ5" s="25"/>
      <c r="DK5" s="25"/>
      <c r="DL5" s="25"/>
      <c r="DM5" s="25"/>
      <c r="DN5" s="25"/>
      <c r="DO5" s="23"/>
      <c r="DP5" s="24"/>
      <c r="DQ5" s="24"/>
      <c r="DR5" s="25"/>
      <c r="DS5" s="25"/>
      <c r="DT5" s="25"/>
      <c r="DU5" s="25"/>
      <c r="DV5" s="25"/>
      <c r="DW5" s="25"/>
      <c r="DX5" s="23"/>
      <c r="DY5" s="25"/>
    </row>
    <row r="6" spans="1:129" ht="36.75" customHeight="1" x14ac:dyDescent="0.25">
      <c r="A6" s="140"/>
      <c r="B6" s="140"/>
      <c r="C6" s="141"/>
      <c r="D6" s="142"/>
      <c r="E6" s="142"/>
      <c r="F6" s="142"/>
      <c r="G6" s="142"/>
      <c r="H6" s="142"/>
      <c r="I6" s="142"/>
      <c r="J6" s="144"/>
      <c r="K6" s="144"/>
      <c r="L6" s="144"/>
      <c r="M6" s="146"/>
      <c r="P6" s="26" t="s">
        <v>20</v>
      </c>
      <c r="Q6" s="26" t="s">
        <v>21</v>
      </c>
      <c r="R6" s="26" t="s">
        <v>22</v>
      </c>
      <c r="S6" s="26" t="s">
        <v>23</v>
      </c>
      <c r="T6" s="26" t="s">
        <v>24</v>
      </c>
      <c r="U6" s="26" t="s">
        <v>25</v>
      </c>
      <c r="V6" s="26" t="s">
        <v>26</v>
      </c>
      <c r="W6" s="26" t="s">
        <v>14</v>
      </c>
      <c r="X6" s="26" t="s">
        <v>27</v>
      </c>
      <c r="Y6" s="26" t="s">
        <v>28</v>
      </c>
      <c r="Z6" s="26" t="s">
        <v>29</v>
      </c>
      <c r="AA6" s="26" t="s">
        <v>30</v>
      </c>
      <c r="AB6" s="26" t="s">
        <v>31</v>
      </c>
      <c r="AC6" s="26" t="s">
        <v>32</v>
      </c>
      <c r="AD6" s="26" t="s">
        <v>33</v>
      </c>
      <c r="AE6" s="26" t="s">
        <v>34</v>
      </c>
      <c r="AF6" s="26" t="s">
        <v>35</v>
      </c>
      <c r="AG6" s="26" t="s">
        <v>36</v>
      </c>
      <c r="AH6" s="26" t="s">
        <v>37</v>
      </c>
      <c r="AI6" s="26" t="s">
        <v>38</v>
      </c>
      <c r="AJ6" s="26" t="s">
        <v>39</v>
      </c>
      <c r="AK6" s="26" t="s">
        <v>40</v>
      </c>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8"/>
      <c r="BV6" s="27"/>
      <c r="BW6" s="27"/>
      <c r="BX6" s="27"/>
      <c r="BY6" s="27"/>
      <c r="BZ6" s="27"/>
      <c r="CA6" s="27"/>
      <c r="CB6" s="27"/>
      <c r="CC6" s="27"/>
      <c r="CD6" s="27"/>
      <c r="CE6" s="27"/>
      <c r="CF6" s="27"/>
      <c r="CG6" s="27"/>
      <c r="CH6" s="27"/>
      <c r="CI6" s="27"/>
      <c r="CJ6" s="27"/>
      <c r="CK6" s="27"/>
      <c r="CL6" s="27"/>
      <c r="CM6" s="27"/>
      <c r="CN6" s="27"/>
      <c r="CO6" s="27"/>
      <c r="CP6" s="27"/>
      <c r="CQ6" s="27"/>
      <c r="CR6" s="27"/>
      <c r="CS6" s="27"/>
      <c r="CT6" s="27"/>
      <c r="CU6" s="27"/>
      <c r="CV6" s="27"/>
      <c r="CW6" s="27"/>
      <c r="CX6" s="27"/>
      <c r="CY6" s="27"/>
      <c r="CZ6" s="27"/>
      <c r="DA6" s="27"/>
      <c r="DB6" s="27"/>
      <c r="DC6" s="27"/>
      <c r="DD6" s="27"/>
      <c r="DE6" s="27"/>
      <c r="DF6" s="27"/>
      <c r="DG6" s="27"/>
      <c r="DH6" s="27"/>
      <c r="DI6" s="27"/>
      <c r="DJ6" s="27"/>
      <c r="DK6" s="27"/>
      <c r="DL6" s="27"/>
      <c r="DM6" s="27"/>
      <c r="DN6" s="27"/>
      <c r="DO6" s="27"/>
      <c r="DP6" s="27"/>
      <c r="DQ6" s="27"/>
      <c r="DR6" s="27"/>
      <c r="DS6" s="27"/>
      <c r="DT6" s="27"/>
      <c r="DU6" s="27"/>
      <c r="DV6" s="27"/>
      <c r="DW6" s="27"/>
      <c r="DX6" s="27"/>
      <c r="DY6" s="27"/>
    </row>
    <row r="7" spans="1:129" ht="9.75" customHeight="1" x14ac:dyDescent="0.25">
      <c r="A7" s="1" t="s">
        <v>41</v>
      </c>
      <c r="B7" s="29"/>
      <c r="C7" s="29"/>
      <c r="D7" s="29"/>
      <c r="E7" s="29"/>
      <c r="F7" s="29"/>
      <c r="G7" s="29"/>
      <c r="H7" s="29"/>
      <c r="I7" s="29"/>
      <c r="J7" s="29"/>
      <c r="K7" s="29"/>
      <c r="L7" s="29"/>
      <c r="M7" s="29"/>
      <c r="O7" t="str">
        <f t="shared" ref="O7:O32" si="1">IF(OR(ISBLANK(task_start),ISBLANK(task_end)),"",task_end-task_start+1)</f>
        <v/>
      </c>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row>
    <row r="8" spans="1:129" s="43" customFormat="1" ht="33.75" customHeight="1" thickBot="1" x14ac:dyDescent="0.3">
      <c r="A8" s="156" t="s">
        <v>42</v>
      </c>
      <c r="B8" s="107" t="s">
        <v>43</v>
      </c>
      <c r="C8" s="108" t="s">
        <v>44</v>
      </c>
      <c r="D8" s="33">
        <v>1500</v>
      </c>
      <c r="E8" s="34">
        <v>1500</v>
      </c>
      <c r="F8" s="35">
        <v>1500</v>
      </c>
      <c r="G8" s="36"/>
      <c r="H8" s="36">
        <f>F8-E8</f>
        <v>0</v>
      </c>
      <c r="I8" s="36"/>
      <c r="J8" s="94">
        <f t="shared" ref="J8:J31" si="2">D8-F8</f>
        <v>0</v>
      </c>
      <c r="K8" s="95">
        <f t="shared" ref="K8:K31" si="3">F8/D8</f>
        <v>1</v>
      </c>
      <c r="L8" s="96">
        <v>46254</v>
      </c>
      <c r="M8" s="97">
        <v>46254</v>
      </c>
      <c r="N8" s="40"/>
      <c r="O8" s="41">
        <f t="shared" si="1"/>
        <v>1</v>
      </c>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row>
    <row r="9" spans="1:129" s="43" customFormat="1" ht="33.75" customHeight="1" thickBot="1" x14ac:dyDescent="0.3">
      <c r="A9" s="156"/>
      <c r="B9" s="44" t="s">
        <v>45</v>
      </c>
      <c r="C9" s="109" t="s">
        <v>44</v>
      </c>
      <c r="D9" s="46">
        <v>3500</v>
      </c>
      <c r="E9" s="47">
        <v>3500</v>
      </c>
      <c r="F9" s="48">
        <f>0.8*D9</f>
        <v>2800</v>
      </c>
      <c r="G9" s="49">
        <f>J9/3</f>
        <v>233.33333333333334</v>
      </c>
      <c r="H9" s="49">
        <f t="shared" ref="H9:H31" si="4">F9-E9</f>
        <v>-700</v>
      </c>
      <c r="I9" s="49"/>
      <c r="J9" s="98">
        <f t="shared" si="2"/>
        <v>700</v>
      </c>
      <c r="K9" s="95">
        <f t="shared" si="3"/>
        <v>0.8</v>
      </c>
      <c r="L9" s="96">
        <v>46256</v>
      </c>
      <c r="M9" s="96">
        <v>46284</v>
      </c>
      <c r="N9" s="40"/>
      <c r="O9" s="41">
        <f t="shared" si="1"/>
        <v>29</v>
      </c>
      <c r="P9" s="53"/>
      <c r="Q9" s="53"/>
      <c r="R9" s="53"/>
      <c r="S9" s="53"/>
      <c r="T9" s="53">
        <v>1500</v>
      </c>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row>
    <row r="10" spans="1:129" s="43" customFormat="1" ht="33.75" customHeight="1" thickBot="1" x14ac:dyDescent="0.3">
      <c r="A10" s="156" t="s">
        <v>46</v>
      </c>
      <c r="B10" s="54" t="s">
        <v>47</v>
      </c>
      <c r="C10" s="110" t="s">
        <v>48</v>
      </c>
      <c r="D10" s="56">
        <v>165</v>
      </c>
      <c r="E10" s="57">
        <f t="shared" ref="E10:E31" ca="1" si="5">SUMPRODUCT(ISNUMBER($P$5:$AK$5)*($P$5:$AK$5&lt;=TODAY())*(P10:AK10))</f>
        <v>165</v>
      </c>
      <c r="F10" s="58">
        <v>0</v>
      </c>
      <c r="G10" s="59">
        <f>J10/3</f>
        <v>55</v>
      </c>
      <c r="H10" s="59">
        <f t="shared" ca="1" si="4"/>
        <v>-165</v>
      </c>
      <c r="I10" s="59"/>
      <c r="J10" s="99">
        <f t="shared" si="2"/>
        <v>165</v>
      </c>
      <c r="K10" s="95">
        <f t="shared" si="3"/>
        <v>0</v>
      </c>
      <c r="L10" s="96">
        <v>46316</v>
      </c>
      <c r="M10" s="96">
        <v>46319</v>
      </c>
      <c r="N10" s="40"/>
      <c r="O10" s="41">
        <f t="shared" si="1"/>
        <v>4</v>
      </c>
      <c r="P10" s="53"/>
      <c r="Q10" s="53"/>
      <c r="R10" s="53"/>
      <c r="S10" s="53"/>
      <c r="T10" s="53"/>
      <c r="U10" s="53"/>
      <c r="V10" s="53"/>
      <c r="W10" s="53"/>
      <c r="X10" s="53"/>
      <c r="Y10" s="53"/>
      <c r="Z10" s="53"/>
      <c r="AA10" s="53">
        <v>165</v>
      </c>
      <c r="AB10" s="53"/>
      <c r="AC10" s="53"/>
      <c r="AD10" s="63"/>
      <c r="AE10" s="6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c r="BT10" s="53"/>
      <c r="BU10" s="53"/>
    </row>
    <row r="11" spans="1:129" s="43" customFormat="1" ht="33.75" customHeight="1" thickBot="1" x14ac:dyDescent="0.3">
      <c r="A11" s="156"/>
      <c r="B11" s="64" t="s">
        <v>49</v>
      </c>
      <c r="C11" s="111" t="s">
        <v>48</v>
      </c>
      <c r="D11" s="66">
        <v>12</v>
      </c>
      <c r="E11" s="67">
        <f t="shared" ca="1" si="5"/>
        <v>12</v>
      </c>
      <c r="F11" s="68">
        <v>0</v>
      </c>
      <c r="G11" s="69">
        <f>J11/3</f>
        <v>4</v>
      </c>
      <c r="H11" s="69">
        <f t="shared" ca="1" si="4"/>
        <v>-12</v>
      </c>
      <c r="I11" s="69"/>
      <c r="J11" s="100">
        <f t="shared" si="2"/>
        <v>12</v>
      </c>
      <c r="K11" s="95">
        <f t="shared" si="3"/>
        <v>0</v>
      </c>
      <c r="L11" s="96">
        <v>46316</v>
      </c>
      <c r="M11" s="96">
        <v>46319</v>
      </c>
      <c r="N11" s="40"/>
      <c r="O11" s="41">
        <f t="shared" si="1"/>
        <v>4</v>
      </c>
      <c r="P11" s="53"/>
      <c r="Q11" s="53"/>
      <c r="R11" s="53"/>
      <c r="S11" s="53"/>
      <c r="T11" s="53"/>
      <c r="U11" s="53"/>
      <c r="V11" s="53"/>
      <c r="W11" s="53"/>
      <c r="X11" s="53"/>
      <c r="Y11" s="53"/>
      <c r="Z11" s="53"/>
      <c r="AA11" s="53">
        <v>12</v>
      </c>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c r="BT11" s="53"/>
      <c r="BU11" s="53"/>
    </row>
    <row r="12" spans="1:129" s="43" customFormat="1" ht="33.75" customHeight="1" thickBot="1" x14ac:dyDescent="0.3">
      <c r="A12" s="156"/>
      <c r="B12" s="64" t="s">
        <v>50</v>
      </c>
      <c r="C12" s="111" t="s">
        <v>51</v>
      </c>
      <c r="D12" s="66">
        <v>4</v>
      </c>
      <c r="E12" s="67">
        <f t="shared" ca="1" si="5"/>
        <v>4</v>
      </c>
      <c r="F12" s="68">
        <v>0</v>
      </c>
      <c r="G12" s="69"/>
      <c r="H12" s="69">
        <f t="shared" ca="1" si="4"/>
        <v>-4</v>
      </c>
      <c r="I12" s="69"/>
      <c r="J12" s="100">
        <f t="shared" si="2"/>
        <v>4</v>
      </c>
      <c r="K12" s="95">
        <f t="shared" si="3"/>
        <v>0</v>
      </c>
      <c r="L12" s="96">
        <v>46316</v>
      </c>
      <c r="M12" s="96">
        <v>46319</v>
      </c>
      <c r="N12" s="40"/>
      <c r="O12" s="41">
        <f t="shared" si="1"/>
        <v>4</v>
      </c>
      <c r="P12" s="53"/>
      <c r="Q12" s="53"/>
      <c r="R12" s="53"/>
      <c r="S12" s="53"/>
      <c r="T12" s="53"/>
      <c r="U12" s="53"/>
      <c r="V12" s="53"/>
      <c r="W12" s="53"/>
      <c r="X12" s="53"/>
      <c r="Y12" s="53"/>
      <c r="Z12" s="53"/>
      <c r="AA12" s="53">
        <v>4</v>
      </c>
      <c r="AB12" s="53"/>
      <c r="AC12" s="53"/>
      <c r="AD12" s="53"/>
      <c r="AE12" s="53"/>
      <c r="AF12" s="53"/>
      <c r="AG12" s="53"/>
      <c r="AH12" s="6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c r="BT12" s="53"/>
      <c r="BU12" s="53"/>
    </row>
    <row r="13" spans="1:129" s="43" customFormat="1" ht="33.75" customHeight="1" thickBot="1" x14ac:dyDescent="0.3">
      <c r="A13" s="156"/>
      <c r="B13" s="64" t="s">
        <v>52</v>
      </c>
      <c r="C13" s="111" t="s">
        <v>51</v>
      </c>
      <c r="D13" s="66">
        <v>4</v>
      </c>
      <c r="E13" s="67">
        <f t="shared" ca="1" si="5"/>
        <v>0</v>
      </c>
      <c r="F13" s="68">
        <v>0</v>
      </c>
      <c r="G13" s="69"/>
      <c r="H13" s="69">
        <f t="shared" ca="1" si="4"/>
        <v>0</v>
      </c>
      <c r="I13" s="69"/>
      <c r="J13" s="100">
        <f t="shared" si="2"/>
        <v>4</v>
      </c>
      <c r="K13" s="95">
        <f t="shared" si="3"/>
        <v>0</v>
      </c>
      <c r="L13" s="96">
        <v>46376</v>
      </c>
      <c r="M13" s="96">
        <v>46387</v>
      </c>
      <c r="N13" s="40"/>
      <c r="O13" s="41">
        <f t="shared" si="1"/>
        <v>12</v>
      </c>
      <c r="P13" s="53"/>
      <c r="Q13" s="53"/>
      <c r="R13" s="53"/>
      <c r="S13" s="53"/>
      <c r="T13" s="53"/>
      <c r="U13" s="53"/>
      <c r="V13" s="53"/>
      <c r="W13" s="53"/>
      <c r="X13" s="53"/>
      <c r="Y13" s="53"/>
      <c r="Z13" s="53"/>
      <c r="AA13" s="53"/>
      <c r="AB13" s="53"/>
      <c r="AC13" s="53"/>
      <c r="AD13" s="53"/>
      <c r="AE13" s="53"/>
      <c r="AF13" s="53"/>
      <c r="AG13" s="53"/>
      <c r="AH13" s="53"/>
      <c r="AI13" s="53"/>
      <c r="AJ13" s="53">
        <v>2</v>
      </c>
      <c r="AK13" s="53">
        <v>2</v>
      </c>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c r="BT13" s="53"/>
      <c r="BU13" s="53"/>
    </row>
    <row r="14" spans="1:129" s="43" customFormat="1" ht="33.75" customHeight="1" thickBot="1" x14ac:dyDescent="0.3">
      <c r="A14" s="156"/>
      <c r="B14" s="64" t="s">
        <v>53</v>
      </c>
      <c r="C14" s="111" t="s">
        <v>51</v>
      </c>
      <c r="D14" s="66">
        <v>4</v>
      </c>
      <c r="E14" s="67">
        <f t="shared" ca="1" si="5"/>
        <v>0</v>
      </c>
      <c r="F14" s="68">
        <v>0</v>
      </c>
      <c r="G14" s="69"/>
      <c r="H14" s="69">
        <f t="shared" ca="1" si="4"/>
        <v>0</v>
      </c>
      <c r="I14" s="69"/>
      <c r="J14" s="100">
        <f t="shared" si="2"/>
        <v>4</v>
      </c>
      <c r="K14" s="95">
        <f t="shared" si="3"/>
        <v>0</v>
      </c>
      <c r="L14" s="96">
        <v>46376</v>
      </c>
      <c r="M14" s="96">
        <v>46387</v>
      </c>
      <c r="N14" s="40"/>
      <c r="O14" s="41">
        <f t="shared" si="1"/>
        <v>12</v>
      </c>
      <c r="AJ14" s="53">
        <v>2</v>
      </c>
      <c r="AK14" s="53">
        <v>2</v>
      </c>
    </row>
    <row r="15" spans="1:129" s="43" customFormat="1" ht="33.75" customHeight="1" thickBot="1" x14ac:dyDescent="0.3">
      <c r="A15" s="156"/>
      <c r="B15" s="64" t="s">
        <v>54</v>
      </c>
      <c r="C15" s="111" t="s">
        <v>51</v>
      </c>
      <c r="D15" s="66">
        <v>4</v>
      </c>
      <c r="E15" s="67">
        <f t="shared" ca="1" si="5"/>
        <v>0</v>
      </c>
      <c r="F15" s="68">
        <v>0</v>
      </c>
      <c r="G15" s="69"/>
      <c r="H15" s="69">
        <f t="shared" ca="1" si="4"/>
        <v>0</v>
      </c>
      <c r="I15" s="69"/>
      <c r="J15" s="100">
        <f t="shared" si="2"/>
        <v>4</v>
      </c>
      <c r="K15" s="95">
        <f t="shared" si="3"/>
        <v>0</v>
      </c>
      <c r="L15" s="96">
        <v>46376</v>
      </c>
      <c r="M15" s="96">
        <v>46387</v>
      </c>
      <c r="N15" s="40"/>
      <c r="O15" s="41">
        <f t="shared" si="1"/>
        <v>12</v>
      </c>
      <c r="P15" s="53"/>
      <c r="Q15" s="53"/>
      <c r="R15" s="53"/>
      <c r="S15" s="53"/>
      <c r="T15" s="53"/>
      <c r="U15" s="53"/>
      <c r="V15" s="53"/>
      <c r="W15" s="53"/>
      <c r="X15" s="53"/>
      <c r="Y15" s="53"/>
      <c r="Z15" s="53"/>
      <c r="AA15" s="53"/>
      <c r="AB15" s="53"/>
      <c r="AC15" s="53"/>
      <c r="AD15" s="53"/>
      <c r="AE15" s="53"/>
      <c r="AF15" s="53"/>
      <c r="AG15" s="53"/>
      <c r="AH15" s="53"/>
      <c r="AI15" s="53"/>
      <c r="AJ15" s="53">
        <v>2</v>
      </c>
      <c r="AK15" s="53">
        <v>2</v>
      </c>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row>
    <row r="16" spans="1:129" s="43" customFormat="1" ht="33.75" customHeight="1" thickBot="1" x14ac:dyDescent="0.3">
      <c r="A16" s="156"/>
      <c r="B16" s="64" t="s">
        <v>55</v>
      </c>
      <c r="C16" s="111" t="s">
        <v>51</v>
      </c>
      <c r="D16" s="66">
        <v>2</v>
      </c>
      <c r="E16" s="67">
        <f t="shared" ca="1" si="5"/>
        <v>2</v>
      </c>
      <c r="F16" s="68">
        <v>0</v>
      </c>
      <c r="G16" s="69"/>
      <c r="H16" s="69">
        <f t="shared" ca="1" si="4"/>
        <v>-2</v>
      </c>
      <c r="I16" s="69"/>
      <c r="J16" s="100">
        <f t="shared" si="2"/>
        <v>2</v>
      </c>
      <c r="K16" s="95">
        <f t="shared" si="3"/>
        <v>0</v>
      </c>
      <c r="L16" s="96">
        <v>46316</v>
      </c>
      <c r="M16" s="96">
        <v>46319</v>
      </c>
      <c r="N16" s="40"/>
      <c r="O16" s="41">
        <f t="shared" si="1"/>
        <v>4</v>
      </c>
      <c r="P16" s="53"/>
      <c r="Q16" s="53"/>
      <c r="R16" s="53"/>
      <c r="S16" s="53"/>
      <c r="T16" s="53"/>
      <c r="U16" s="53"/>
      <c r="V16" s="53"/>
      <c r="W16" s="53"/>
      <c r="X16" s="53"/>
      <c r="Y16" s="53"/>
      <c r="Z16" s="53"/>
      <c r="AA16" s="53">
        <v>2</v>
      </c>
      <c r="AB16" s="53"/>
      <c r="AC16" s="53"/>
      <c r="AD16" s="63"/>
      <c r="AE16" s="6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row>
    <row r="17" spans="1:73" s="43" customFormat="1" ht="33.75" customHeight="1" thickBot="1" x14ac:dyDescent="0.3">
      <c r="A17" s="156"/>
      <c r="B17" s="64" t="s">
        <v>56</v>
      </c>
      <c r="C17" s="111" t="s">
        <v>51</v>
      </c>
      <c r="D17" s="46">
        <v>2</v>
      </c>
      <c r="E17" s="47">
        <f t="shared" ca="1" si="5"/>
        <v>0</v>
      </c>
      <c r="F17" s="82">
        <v>0</v>
      </c>
      <c r="G17" s="83"/>
      <c r="H17" s="83">
        <f t="shared" ca="1" si="4"/>
        <v>0</v>
      </c>
      <c r="I17" s="83"/>
      <c r="J17" s="101">
        <f t="shared" si="2"/>
        <v>2</v>
      </c>
      <c r="K17" s="95">
        <f t="shared" si="3"/>
        <v>0</v>
      </c>
      <c r="L17" s="96">
        <v>46376</v>
      </c>
      <c r="M17" s="96">
        <v>46386</v>
      </c>
      <c r="N17" s="40"/>
      <c r="O17" s="41">
        <f t="shared" si="1"/>
        <v>11</v>
      </c>
      <c r="P17" s="53"/>
      <c r="Q17" s="53"/>
      <c r="R17" s="53"/>
      <c r="S17" s="53"/>
      <c r="T17" s="53"/>
      <c r="U17" s="53"/>
      <c r="V17" s="53"/>
      <c r="W17" s="53"/>
      <c r="X17" s="53"/>
      <c r="Y17" s="53"/>
      <c r="Z17" s="53"/>
      <c r="AA17" s="53"/>
      <c r="AB17" s="53"/>
      <c r="AC17" s="53"/>
      <c r="AD17" s="53"/>
      <c r="AE17" s="53"/>
      <c r="AF17" s="53"/>
      <c r="AG17" s="53"/>
      <c r="AH17" s="53"/>
      <c r="AI17" s="53"/>
      <c r="AJ17" s="53">
        <v>1</v>
      </c>
      <c r="AK17" s="53">
        <v>1</v>
      </c>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row>
    <row r="18" spans="1:73" s="43" customFormat="1" ht="33.75" customHeight="1" thickBot="1" x14ac:dyDescent="0.3">
      <c r="A18" s="156" t="s">
        <v>68</v>
      </c>
      <c r="B18" s="75" t="s">
        <v>69</v>
      </c>
      <c r="C18" s="112" t="s">
        <v>48</v>
      </c>
      <c r="D18" s="33">
        <v>480</v>
      </c>
      <c r="E18" s="34">
        <f t="shared" ca="1" si="5"/>
        <v>0</v>
      </c>
      <c r="F18" s="35">
        <v>0</v>
      </c>
      <c r="G18" s="36"/>
      <c r="H18" s="36">
        <f t="shared" ca="1" si="4"/>
        <v>0</v>
      </c>
      <c r="I18" s="36"/>
      <c r="J18" s="94">
        <f t="shared" si="2"/>
        <v>480</v>
      </c>
      <c r="K18" s="95">
        <f t="shared" si="3"/>
        <v>0</v>
      </c>
      <c r="L18" s="96">
        <v>46349</v>
      </c>
      <c r="M18" s="96">
        <v>46351</v>
      </c>
      <c r="N18" s="40"/>
      <c r="O18" s="41">
        <f t="shared" si="1"/>
        <v>3</v>
      </c>
      <c r="Q18" s="53"/>
      <c r="R18" s="53"/>
      <c r="S18" s="53"/>
      <c r="T18" s="53"/>
      <c r="U18" s="53"/>
      <c r="V18" s="53"/>
      <c r="W18" s="53"/>
      <c r="X18" s="53"/>
      <c r="Y18" s="53"/>
      <c r="Z18" s="53"/>
      <c r="AA18" s="53"/>
      <c r="AB18" s="53"/>
      <c r="AC18" s="53"/>
      <c r="AD18" s="53"/>
      <c r="AE18" s="53"/>
      <c r="AF18" s="53">
        <v>480</v>
      </c>
      <c r="AG18" s="53"/>
      <c r="AH18" s="6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row>
    <row r="19" spans="1:73" s="43" customFormat="1" ht="33.75" customHeight="1" thickBot="1" x14ac:dyDescent="0.3">
      <c r="A19" s="156"/>
      <c r="B19" s="64" t="s">
        <v>70</v>
      </c>
      <c r="C19" s="111" t="s">
        <v>51</v>
      </c>
      <c r="D19" s="66">
        <v>5</v>
      </c>
      <c r="E19" s="67">
        <f t="shared" ca="1" si="5"/>
        <v>0</v>
      </c>
      <c r="F19" s="86">
        <v>0</v>
      </c>
      <c r="G19" s="87"/>
      <c r="H19" s="87">
        <f t="shared" ca="1" si="4"/>
        <v>0</v>
      </c>
      <c r="I19" s="87"/>
      <c r="J19" s="103">
        <f t="shared" si="2"/>
        <v>5</v>
      </c>
      <c r="K19" s="95">
        <f t="shared" si="3"/>
        <v>0</v>
      </c>
      <c r="L19" s="96">
        <v>46349</v>
      </c>
      <c r="M19" s="96">
        <v>46351</v>
      </c>
      <c r="N19" s="40"/>
      <c r="O19" s="41">
        <f t="shared" si="1"/>
        <v>3</v>
      </c>
      <c r="P19" s="53"/>
      <c r="Q19" s="53"/>
      <c r="R19" s="53"/>
      <c r="S19" s="53"/>
      <c r="T19" s="53"/>
      <c r="U19" s="53"/>
      <c r="V19" s="53"/>
      <c r="W19" s="53"/>
      <c r="X19" s="53"/>
      <c r="Y19" s="53"/>
      <c r="Z19" s="53"/>
      <c r="AA19" s="53"/>
      <c r="AB19" s="53"/>
      <c r="AC19" s="53"/>
      <c r="AD19" s="53"/>
      <c r="AE19" s="53"/>
      <c r="AF19" s="53">
        <v>5</v>
      </c>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row>
    <row r="20" spans="1:73" s="43" customFormat="1" ht="33.75" customHeight="1" thickBot="1" x14ac:dyDescent="0.3">
      <c r="A20" s="156"/>
      <c r="B20" s="64" t="s">
        <v>71</v>
      </c>
      <c r="C20" s="111" t="s">
        <v>51</v>
      </c>
      <c r="D20" s="66">
        <v>5</v>
      </c>
      <c r="E20" s="67">
        <f t="shared" ca="1" si="5"/>
        <v>0</v>
      </c>
      <c r="F20" s="86">
        <v>0</v>
      </c>
      <c r="G20" s="87"/>
      <c r="H20" s="87">
        <f t="shared" ca="1" si="4"/>
        <v>0</v>
      </c>
      <c r="I20" s="87"/>
      <c r="J20" s="103">
        <f t="shared" si="2"/>
        <v>5</v>
      </c>
      <c r="K20" s="95">
        <f t="shared" si="3"/>
        <v>0</v>
      </c>
      <c r="L20" s="96">
        <v>46349</v>
      </c>
      <c r="M20" s="96">
        <v>46351</v>
      </c>
      <c r="N20" s="40"/>
      <c r="O20" s="41">
        <f t="shared" si="1"/>
        <v>3</v>
      </c>
      <c r="P20" s="79"/>
      <c r="Q20" s="79"/>
      <c r="R20" s="79"/>
      <c r="S20" s="79"/>
      <c r="T20" s="79"/>
      <c r="U20" s="79"/>
      <c r="V20" s="79"/>
      <c r="W20" s="79"/>
      <c r="X20" s="79"/>
      <c r="Y20" s="79"/>
      <c r="Z20" s="79"/>
      <c r="AA20" s="79"/>
      <c r="AB20" s="79"/>
      <c r="AC20" s="79"/>
      <c r="AD20" s="79"/>
      <c r="AE20" s="79"/>
      <c r="AF20" s="79">
        <v>5</v>
      </c>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row>
    <row r="21" spans="1:73" s="43" customFormat="1" ht="33.75" customHeight="1" thickBot="1" x14ac:dyDescent="0.3">
      <c r="A21" s="156"/>
      <c r="B21" s="64" t="s">
        <v>72</v>
      </c>
      <c r="C21" s="111" t="s">
        <v>51</v>
      </c>
      <c r="D21" s="66">
        <v>10</v>
      </c>
      <c r="E21" s="67">
        <f t="shared" ca="1" si="5"/>
        <v>0</v>
      </c>
      <c r="F21" s="86">
        <v>0</v>
      </c>
      <c r="G21" s="87"/>
      <c r="H21" s="87">
        <f t="shared" ca="1" si="4"/>
        <v>0</v>
      </c>
      <c r="I21" s="87"/>
      <c r="J21" s="103">
        <f t="shared" si="2"/>
        <v>10</v>
      </c>
      <c r="K21" s="95">
        <f t="shared" si="3"/>
        <v>0</v>
      </c>
      <c r="L21" s="96">
        <f>L20+3</f>
        <v>46352</v>
      </c>
      <c r="M21" s="96">
        <f>L21+3</f>
        <v>46355</v>
      </c>
      <c r="N21" s="40"/>
      <c r="O21" s="41">
        <f t="shared" si="1"/>
        <v>4</v>
      </c>
      <c r="P21" s="53"/>
      <c r="Q21" s="53"/>
      <c r="R21" s="53"/>
      <c r="S21" s="53"/>
      <c r="T21" s="53"/>
      <c r="U21" s="53"/>
      <c r="V21" s="53"/>
      <c r="W21" s="53"/>
      <c r="X21" s="53"/>
      <c r="Y21" s="53"/>
      <c r="Z21" s="53"/>
      <c r="AA21" s="53"/>
      <c r="AB21" s="53"/>
      <c r="AC21" s="53"/>
      <c r="AD21" s="53"/>
      <c r="AE21" s="53"/>
      <c r="AF21" s="53">
        <v>5</v>
      </c>
      <c r="AG21" s="53">
        <v>5</v>
      </c>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row>
    <row r="22" spans="1:73" s="43" customFormat="1" ht="33.75" customHeight="1" thickBot="1" x14ac:dyDescent="0.3">
      <c r="A22" s="134" t="s">
        <v>88</v>
      </c>
      <c r="B22" s="75" t="s">
        <v>89</v>
      </c>
      <c r="C22" s="112" t="s">
        <v>48</v>
      </c>
      <c r="D22" s="33">
        <v>386</v>
      </c>
      <c r="E22" s="34">
        <f t="shared" ca="1" si="5"/>
        <v>140</v>
      </c>
      <c r="F22" s="35">
        <v>0</v>
      </c>
      <c r="G22" s="36"/>
      <c r="H22" s="36">
        <f t="shared" ca="1" si="4"/>
        <v>-140</v>
      </c>
      <c r="I22" s="36"/>
      <c r="J22" s="94">
        <f t="shared" si="2"/>
        <v>386</v>
      </c>
      <c r="K22" s="95">
        <f t="shared" si="3"/>
        <v>0</v>
      </c>
      <c r="L22" s="96">
        <v>46314</v>
      </c>
      <c r="M22" s="96">
        <v>46329</v>
      </c>
      <c r="N22" s="40"/>
      <c r="O22" s="41">
        <f t="shared" si="1"/>
        <v>16</v>
      </c>
      <c r="P22" s="53"/>
      <c r="Q22" s="53"/>
      <c r="R22" s="53"/>
      <c r="S22" s="53"/>
      <c r="T22" s="53"/>
      <c r="U22" s="53"/>
      <c r="V22" s="53"/>
      <c r="W22" s="53"/>
      <c r="X22" s="53"/>
      <c r="Y22" s="53"/>
      <c r="Z22" s="53"/>
      <c r="AA22" s="53">
        <v>140</v>
      </c>
      <c r="AB22" s="53">
        <v>140</v>
      </c>
      <c r="AC22" s="53">
        <v>106</v>
      </c>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row>
    <row r="23" spans="1:73" s="43" customFormat="1" ht="33.75" customHeight="1" thickBot="1" x14ac:dyDescent="0.3">
      <c r="A23" s="147" t="s">
        <v>74</v>
      </c>
      <c r="B23" s="75" t="s">
        <v>75</v>
      </c>
      <c r="C23" s="112" t="s">
        <v>48</v>
      </c>
      <c r="D23" s="33">
        <v>550</v>
      </c>
      <c r="E23" s="34">
        <f t="shared" ca="1" si="5"/>
        <v>550</v>
      </c>
      <c r="F23" s="35">
        <v>0</v>
      </c>
      <c r="G23" s="36"/>
      <c r="H23" s="36">
        <f t="shared" ca="1" si="4"/>
        <v>-550</v>
      </c>
      <c r="I23" s="36"/>
      <c r="J23" s="94">
        <f t="shared" si="2"/>
        <v>550</v>
      </c>
      <c r="K23" s="95">
        <f t="shared" si="3"/>
        <v>0</v>
      </c>
      <c r="L23" s="96">
        <v>46299</v>
      </c>
      <c r="M23" s="96">
        <v>46314</v>
      </c>
      <c r="N23" s="40"/>
      <c r="O23" s="41">
        <f t="shared" si="1"/>
        <v>16</v>
      </c>
      <c r="P23" s="53"/>
      <c r="Q23" s="53"/>
      <c r="R23" s="53"/>
      <c r="S23" s="53"/>
      <c r="T23" s="53"/>
      <c r="U23" s="53"/>
      <c r="V23" s="53"/>
      <c r="W23" s="53"/>
      <c r="X23" s="53"/>
      <c r="Y23" s="53">
        <v>200</v>
      </c>
      <c r="Z23" s="53">
        <v>200</v>
      </c>
      <c r="AA23" s="53">
        <v>150</v>
      </c>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row>
    <row r="24" spans="1:73" s="43" customFormat="1" ht="33.75" customHeight="1" thickBot="1" x14ac:dyDescent="0.3">
      <c r="A24" s="147"/>
      <c r="B24" s="80" t="s">
        <v>76</v>
      </c>
      <c r="C24" s="113" t="s">
        <v>51</v>
      </c>
      <c r="D24" s="46">
        <v>2</v>
      </c>
      <c r="E24" s="47">
        <f t="shared" ca="1" si="5"/>
        <v>0</v>
      </c>
      <c r="F24" s="48">
        <v>0</v>
      </c>
      <c r="G24" s="49"/>
      <c r="H24" s="49">
        <f t="shared" ca="1" si="4"/>
        <v>0</v>
      </c>
      <c r="I24" s="49"/>
      <c r="J24" s="98">
        <f t="shared" si="2"/>
        <v>2</v>
      </c>
      <c r="K24" s="95">
        <f t="shared" si="3"/>
        <v>0</v>
      </c>
      <c r="L24" s="96">
        <v>46329</v>
      </c>
      <c r="M24" s="96">
        <v>46331</v>
      </c>
      <c r="N24" s="40"/>
      <c r="O24" s="41">
        <f t="shared" si="1"/>
        <v>3</v>
      </c>
      <c r="P24" s="53"/>
      <c r="Q24" s="53"/>
      <c r="R24" s="53"/>
      <c r="S24" s="53"/>
      <c r="T24" s="53"/>
      <c r="U24" s="53"/>
      <c r="V24" s="53"/>
      <c r="W24" s="53"/>
      <c r="X24" s="53"/>
      <c r="Y24" s="53"/>
      <c r="Z24" s="53"/>
      <c r="AA24" s="53"/>
      <c r="AB24" s="53"/>
      <c r="AC24" s="53">
        <v>2</v>
      </c>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row>
    <row r="25" spans="1:73" s="43" customFormat="1" ht="33.75" customHeight="1" thickBot="1" x14ac:dyDescent="0.3">
      <c r="A25" s="156" t="s">
        <v>77</v>
      </c>
      <c r="B25" s="64" t="s">
        <v>78</v>
      </c>
      <c r="C25" s="111" t="s">
        <v>44</v>
      </c>
      <c r="D25" s="66">
        <v>2700</v>
      </c>
      <c r="E25" s="67">
        <f t="shared" ca="1" si="5"/>
        <v>0</v>
      </c>
      <c r="F25" s="86">
        <v>0</v>
      </c>
      <c r="G25" s="87"/>
      <c r="H25" s="87">
        <f t="shared" ca="1" si="4"/>
        <v>0</v>
      </c>
      <c r="I25" s="87"/>
      <c r="J25" s="103">
        <f t="shared" si="2"/>
        <v>2700</v>
      </c>
      <c r="K25" s="95">
        <f t="shared" si="3"/>
        <v>0</v>
      </c>
      <c r="L25" s="96">
        <v>46348</v>
      </c>
      <c r="M25" s="96">
        <v>46359</v>
      </c>
      <c r="N25" s="40"/>
      <c r="O25" s="41">
        <f t="shared" si="1"/>
        <v>12</v>
      </c>
      <c r="P25" s="53"/>
      <c r="Q25" s="53"/>
      <c r="R25" s="53"/>
      <c r="S25" s="53"/>
      <c r="T25" s="53"/>
      <c r="U25" s="53"/>
      <c r="V25" s="53"/>
      <c r="W25" s="53"/>
      <c r="X25" s="53"/>
      <c r="Y25" s="53"/>
      <c r="Z25" s="53"/>
      <c r="AA25" s="53"/>
      <c r="AB25" s="53"/>
      <c r="AC25" s="53"/>
      <c r="AD25" s="53"/>
      <c r="AE25" s="53"/>
      <c r="AF25" s="53">
        <v>1700</v>
      </c>
      <c r="AG25" s="53">
        <v>1000</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row>
    <row r="26" spans="1:73" s="43" customFormat="1" ht="33.75" customHeight="1" thickBot="1" x14ac:dyDescent="0.3">
      <c r="A26" s="156"/>
      <c r="B26" s="64" t="s">
        <v>79</v>
      </c>
      <c r="C26" s="111" t="s">
        <v>44</v>
      </c>
      <c r="D26" s="66">
        <v>930</v>
      </c>
      <c r="E26" s="67">
        <f t="shared" ca="1" si="5"/>
        <v>0</v>
      </c>
      <c r="F26" s="86">
        <v>0</v>
      </c>
      <c r="G26" s="87"/>
      <c r="H26" s="87">
        <f t="shared" ca="1" si="4"/>
        <v>0</v>
      </c>
      <c r="I26" s="87"/>
      <c r="J26" s="103">
        <f t="shared" si="2"/>
        <v>930</v>
      </c>
      <c r="K26" s="95">
        <f t="shared" si="3"/>
        <v>0</v>
      </c>
      <c r="L26" s="96">
        <f>M25</f>
        <v>46359</v>
      </c>
      <c r="M26" s="97">
        <v>46363</v>
      </c>
      <c r="N26" s="40"/>
      <c r="O26" s="41">
        <f t="shared" si="1"/>
        <v>5</v>
      </c>
      <c r="P26" s="84"/>
      <c r="Q26" s="84"/>
      <c r="R26" s="84"/>
      <c r="S26" s="84"/>
      <c r="T26" s="84"/>
      <c r="U26" s="84"/>
      <c r="V26" s="84"/>
      <c r="W26" s="84"/>
      <c r="X26" s="84"/>
      <c r="Y26" s="84"/>
      <c r="Z26" s="84"/>
      <c r="AA26" s="84"/>
      <c r="AB26" s="84"/>
      <c r="AC26" s="84"/>
      <c r="AD26" s="84"/>
      <c r="AE26" s="84"/>
      <c r="AF26" s="84"/>
      <c r="AG26" s="53">
        <v>530</v>
      </c>
      <c r="AH26" s="84">
        <v>400</v>
      </c>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row>
    <row r="27" spans="1:73" s="43" customFormat="1" ht="33.75" customHeight="1" thickBot="1" x14ac:dyDescent="0.3">
      <c r="A27" s="156"/>
      <c r="B27" s="64" t="s">
        <v>80</v>
      </c>
      <c r="C27" s="111" t="s">
        <v>44</v>
      </c>
      <c r="D27" s="66">
        <v>187.5</v>
      </c>
      <c r="E27" s="67">
        <f t="shared" ca="1" si="5"/>
        <v>0</v>
      </c>
      <c r="F27" s="86">
        <v>0</v>
      </c>
      <c r="G27" s="87"/>
      <c r="H27" s="87">
        <f t="shared" ca="1" si="4"/>
        <v>0</v>
      </c>
      <c r="I27" s="87"/>
      <c r="J27" s="103">
        <f t="shared" si="2"/>
        <v>187.5</v>
      </c>
      <c r="K27" s="95">
        <f t="shared" si="3"/>
        <v>0</v>
      </c>
      <c r="L27" s="96">
        <f>M26+1</f>
        <v>46364</v>
      </c>
      <c r="M27" s="96">
        <v>46364</v>
      </c>
      <c r="N27" s="40"/>
      <c r="O27" s="41">
        <f t="shared" si="1"/>
        <v>1</v>
      </c>
      <c r="P27" s="53"/>
      <c r="Q27" s="53"/>
      <c r="R27" s="53"/>
      <c r="S27" s="53"/>
      <c r="T27" s="53"/>
      <c r="U27" s="53"/>
      <c r="V27" s="53"/>
      <c r="W27" s="53"/>
      <c r="X27" s="53"/>
      <c r="Y27" s="53"/>
      <c r="Z27" s="53"/>
      <c r="AA27" s="53"/>
      <c r="AB27" s="53"/>
      <c r="AC27" s="53"/>
      <c r="AD27" s="53"/>
      <c r="AE27" s="53"/>
      <c r="AF27" s="53"/>
      <c r="AG27" s="53"/>
      <c r="AH27" s="53">
        <v>188</v>
      </c>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row>
    <row r="28" spans="1:73" s="43" customFormat="1" ht="33.75" customHeight="1" thickBot="1" x14ac:dyDescent="0.3">
      <c r="A28" s="156"/>
      <c r="B28" s="64" t="s">
        <v>81</v>
      </c>
      <c r="C28" s="111" t="s">
        <v>90</v>
      </c>
      <c r="D28" s="66">
        <v>187.5</v>
      </c>
      <c r="E28" s="67">
        <f t="shared" ca="1" si="5"/>
        <v>0</v>
      </c>
      <c r="F28" s="86">
        <v>0</v>
      </c>
      <c r="G28" s="87"/>
      <c r="H28" s="87">
        <f t="shared" ca="1" si="4"/>
        <v>0</v>
      </c>
      <c r="I28" s="87"/>
      <c r="J28" s="103">
        <f t="shared" si="2"/>
        <v>187.5</v>
      </c>
      <c r="K28" s="95">
        <f t="shared" si="3"/>
        <v>0</v>
      </c>
      <c r="L28" s="96">
        <v>46372</v>
      </c>
      <c r="M28" s="96">
        <v>46373</v>
      </c>
      <c r="N28" s="40"/>
      <c r="O28" s="41">
        <f t="shared" si="1"/>
        <v>2</v>
      </c>
      <c r="P28" s="53"/>
      <c r="Q28" s="53"/>
      <c r="R28" s="53"/>
      <c r="S28" s="53"/>
      <c r="T28" s="53"/>
      <c r="U28" s="53"/>
      <c r="V28" s="53"/>
      <c r="W28" s="53"/>
      <c r="X28" s="53"/>
      <c r="Y28" s="53"/>
      <c r="Z28" s="53"/>
      <c r="AA28" s="53"/>
      <c r="AB28" s="53"/>
      <c r="AC28" s="53"/>
      <c r="AD28" s="53"/>
      <c r="AE28" s="53"/>
      <c r="AF28" s="53"/>
      <c r="AG28" s="53"/>
      <c r="AH28" s="53"/>
      <c r="AI28" s="53">
        <v>188</v>
      </c>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row>
    <row r="29" spans="1:73" s="43" customFormat="1" ht="33.75" customHeight="1" thickBot="1" x14ac:dyDescent="0.3">
      <c r="A29" s="156"/>
      <c r="B29" s="64" t="s">
        <v>82</v>
      </c>
      <c r="C29" s="111" t="s">
        <v>48</v>
      </c>
      <c r="D29" s="66">
        <v>1500</v>
      </c>
      <c r="E29" s="67">
        <f t="shared" ca="1" si="5"/>
        <v>0</v>
      </c>
      <c r="F29" s="86">
        <v>0</v>
      </c>
      <c r="G29" s="87"/>
      <c r="H29" s="87">
        <f t="shared" ca="1" si="4"/>
        <v>0</v>
      </c>
      <c r="I29" s="87"/>
      <c r="J29" s="103">
        <f t="shared" si="2"/>
        <v>1500</v>
      </c>
      <c r="K29" s="95">
        <f t="shared" si="3"/>
        <v>0</v>
      </c>
      <c r="L29" s="96">
        <v>46367</v>
      </c>
      <c r="M29" s="96">
        <v>46371</v>
      </c>
      <c r="N29" s="40"/>
      <c r="O29" s="41">
        <f t="shared" si="1"/>
        <v>5</v>
      </c>
      <c r="P29" s="53"/>
      <c r="Q29" s="53"/>
      <c r="R29" s="53"/>
      <c r="S29" s="53"/>
      <c r="T29" s="53"/>
      <c r="U29" s="53"/>
      <c r="V29" s="53"/>
      <c r="W29" s="53"/>
      <c r="X29" s="53"/>
      <c r="Y29" s="53"/>
      <c r="Z29" s="53"/>
      <c r="AA29" s="53"/>
      <c r="AB29" s="53"/>
      <c r="AC29" s="53"/>
      <c r="AD29" s="53"/>
      <c r="AE29" s="53"/>
      <c r="AF29" s="53"/>
      <c r="AG29" s="53"/>
      <c r="AH29" s="53">
        <v>750</v>
      </c>
      <c r="AI29" s="53">
        <v>750</v>
      </c>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row>
    <row r="30" spans="1:73" s="43" customFormat="1" ht="33.75" customHeight="1" thickBot="1" x14ac:dyDescent="0.3">
      <c r="A30" s="156"/>
      <c r="B30" s="64" t="s">
        <v>83</v>
      </c>
      <c r="C30" s="111" t="s">
        <v>84</v>
      </c>
      <c r="D30" s="66">
        <f>1600</f>
        <v>1600</v>
      </c>
      <c r="E30" s="67">
        <f t="shared" ca="1" si="5"/>
        <v>0</v>
      </c>
      <c r="F30" s="86">
        <v>0</v>
      </c>
      <c r="G30" s="87"/>
      <c r="H30" s="87">
        <f t="shared" ca="1" si="4"/>
        <v>0</v>
      </c>
      <c r="I30" s="87"/>
      <c r="J30" s="103">
        <f t="shared" si="2"/>
        <v>1600</v>
      </c>
      <c r="K30" s="95">
        <f t="shared" si="3"/>
        <v>0</v>
      </c>
      <c r="L30" s="96">
        <f>L29+3</f>
        <v>46370</v>
      </c>
      <c r="M30" s="96">
        <v>46376</v>
      </c>
      <c r="N30" s="40"/>
      <c r="O30" s="41">
        <f t="shared" si="1"/>
        <v>7</v>
      </c>
      <c r="P30" s="53"/>
      <c r="Q30" s="53"/>
      <c r="R30" s="53"/>
      <c r="S30" s="53"/>
      <c r="T30" s="53"/>
      <c r="U30" s="53"/>
      <c r="V30" s="53"/>
      <c r="W30" s="53"/>
      <c r="X30" s="53"/>
      <c r="Y30" s="53"/>
      <c r="Z30" s="53"/>
      <c r="AA30" s="53"/>
      <c r="AB30" s="53"/>
      <c r="AC30" s="53"/>
      <c r="AD30" s="53"/>
      <c r="AE30" s="53"/>
      <c r="AF30" s="53"/>
      <c r="AG30" s="53"/>
      <c r="AH30" s="53"/>
      <c r="AI30" s="53">
        <v>800</v>
      </c>
      <c r="AJ30" s="53">
        <v>800</v>
      </c>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row>
    <row r="31" spans="1:73" s="43" customFormat="1" ht="33.75" customHeight="1" thickBot="1" x14ac:dyDescent="0.3">
      <c r="A31" s="156"/>
      <c r="B31" s="80" t="s">
        <v>85</v>
      </c>
      <c r="C31" s="113" t="s">
        <v>84</v>
      </c>
      <c r="D31" s="46">
        <v>150</v>
      </c>
      <c r="E31" s="47">
        <f t="shared" ca="1" si="5"/>
        <v>0</v>
      </c>
      <c r="F31" s="48">
        <v>0</v>
      </c>
      <c r="G31" s="49"/>
      <c r="H31" s="49">
        <f t="shared" ca="1" si="4"/>
        <v>0</v>
      </c>
      <c r="I31" s="49"/>
      <c r="J31" s="98">
        <f t="shared" si="2"/>
        <v>150</v>
      </c>
      <c r="K31" s="95">
        <f t="shared" si="3"/>
        <v>0</v>
      </c>
      <c r="L31" s="96">
        <v>46377</v>
      </c>
      <c r="M31" s="96">
        <v>46377</v>
      </c>
      <c r="N31" s="40"/>
      <c r="O31" s="41">
        <f t="shared" si="1"/>
        <v>1</v>
      </c>
      <c r="P31" s="53"/>
      <c r="Q31" s="53"/>
      <c r="R31" s="53"/>
      <c r="S31" s="53"/>
      <c r="T31" s="53"/>
      <c r="U31" s="53"/>
      <c r="V31" s="53"/>
      <c r="W31" s="53"/>
      <c r="X31" s="53"/>
      <c r="Y31" s="53"/>
      <c r="Z31" s="53"/>
      <c r="AA31" s="53"/>
      <c r="AB31" s="53"/>
      <c r="AC31" s="53"/>
      <c r="AD31" s="53"/>
      <c r="AE31" s="53"/>
      <c r="AF31" s="53"/>
      <c r="AG31" s="53"/>
      <c r="AH31" s="53"/>
      <c r="AI31" s="53"/>
      <c r="AJ31" s="53">
        <v>150</v>
      </c>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row>
    <row r="32" spans="1:73" s="43" customFormat="1" ht="30" customHeight="1" thickBot="1" x14ac:dyDescent="0.3">
      <c r="A32" s="18"/>
      <c r="B32" s="114"/>
      <c r="C32" s="114"/>
      <c r="D32" s="114"/>
      <c r="E32" s="114"/>
      <c r="F32" s="114"/>
      <c r="G32" s="114"/>
      <c r="H32" s="114"/>
      <c r="I32" s="114"/>
      <c r="J32" s="114"/>
      <c r="K32" s="115"/>
      <c r="L32" s="116"/>
      <c r="M32" s="117"/>
      <c r="N32" s="40"/>
      <c r="O32" s="88" t="str">
        <f t="shared" si="1"/>
        <v/>
      </c>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c r="BT32" s="89"/>
      <c r="BU32" s="89"/>
    </row>
    <row r="33" spans="13:14" ht="30" customHeight="1" x14ac:dyDescent="0.25">
      <c r="N33" s="90"/>
    </row>
    <row r="34" spans="13:14" ht="30" customHeight="1" x14ac:dyDescent="0.25">
      <c r="M34" s="118"/>
    </row>
  </sheetData>
  <mergeCells count="20">
    <mergeCell ref="A1:L1"/>
    <mergeCell ref="P4:AK4"/>
    <mergeCell ref="A5:A6"/>
    <mergeCell ref="B5:B6"/>
    <mergeCell ref="C5:C6"/>
    <mergeCell ref="D5:D6"/>
    <mergeCell ref="E5:E6"/>
    <mergeCell ref="F5:F6"/>
    <mergeCell ref="G5:G6"/>
    <mergeCell ref="H5:H6"/>
    <mergeCell ref="I5:I6"/>
    <mergeCell ref="J5:J6"/>
    <mergeCell ref="K5:K6"/>
    <mergeCell ref="L5:L6"/>
    <mergeCell ref="M5:M6"/>
    <mergeCell ref="A8:A9"/>
    <mergeCell ref="A10:A17"/>
    <mergeCell ref="A18:A21"/>
    <mergeCell ref="A23:A24"/>
    <mergeCell ref="A25:A31"/>
  </mergeCells>
  <conditionalFormatting sqref="H8:H31">
    <cfRule type="cellIs" dxfId="20" priority="1" operator="lessThan">
      <formula>0</formula>
    </cfRule>
    <cfRule type="cellIs" dxfId="19" priority="2" operator="lessThan">
      <formula>0</formula>
    </cfRule>
    <cfRule type="cellIs" dxfId="18" priority="3" operator="greaterThan">
      <formula>0</formula>
    </cfRule>
  </conditionalFormatting>
  <conditionalFormatting sqref="K7:K32">
    <cfRule type="dataBar" priority="13">
      <dataBar>
        <cfvo type="num" val="0"/>
        <cfvo type="num" val="1"/>
        <color rgb="FFFFFFFF"/>
      </dataBar>
      <extLst>
        <ext xmlns:x14="http://schemas.microsoft.com/office/spreadsheetml/2009/9/main" uri="{B025F937-C7B1-47D3-B67F-A62EFF666E3E}">
          <x14:id>{FF6883E9-6723-4B58-8480-C09CC3DB418B}</x14:id>
        </ext>
      </extLst>
    </cfRule>
  </conditionalFormatting>
  <conditionalFormatting sqref="K8:K31">
    <cfRule type="cellIs" dxfId="17" priority="6" operator="equal">
      <formula>100</formula>
    </cfRule>
    <cfRule type="cellIs" dxfId="16" priority="7" operator="equal">
      <formula>0</formula>
    </cfRule>
    <cfRule type="cellIs" dxfId="15" priority="8" operator="between">
      <formula>1</formula>
      <formula>99</formula>
    </cfRule>
    <cfRule type="cellIs" dxfId="14" priority="9" operator="greaterThan">
      <formula>0</formula>
    </cfRule>
  </conditionalFormatting>
  <conditionalFormatting sqref="K14">
    <cfRule type="cellIs" dxfId="13" priority="5" operator="equal">
      <formula>1</formula>
    </cfRule>
  </conditionalFormatting>
  <conditionalFormatting sqref="P5:AK31">
    <cfRule type="expression" dxfId="12" priority="12">
      <formula>AND(TODAY()&gt;=P$5,TODAY()&lt;P$5+7)</formula>
    </cfRule>
  </conditionalFormatting>
  <conditionalFormatting sqref="P8:AK31">
    <cfRule type="expression" dxfId="11" priority="10">
      <formula>AND(task_progress&gt;0,task_start&lt;=P$5+6,ROUNDDOWN((task_end-task_start+1)*task_progress,0)+task_start-1&gt;=P$5)</formula>
    </cfRule>
    <cfRule type="expression" dxfId="10" priority="11">
      <formula>AND(task_end&gt;=P$5,task_start&lt;=P$5+6)</formula>
    </cfRule>
  </conditionalFormatting>
  <dataValidations count="5">
    <dataValidation type="whole" operator="greaterThanOrEqual" allowBlank="1" showInputMessage="1" promptTitle="Display Week" prompt="Changing this number will scroll the Gantt Chart view." sqref="Z2" xr:uid="{00000000-0002-0000-0300-000000000000}">
      <formula1>1</formula1>
      <formula2>0</formula2>
    </dataValidation>
    <dataValidation allowBlank="1" showInputMessage="1" showErrorMessage="1" prompt="Enter Company name in cel B2." sqref="A2" xr:uid="{00000000-0002-0000-03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3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300-000003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300-000004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FF6883E9-6723-4B58-8480-C09CC3DB418B}">
            <x14:dataBar axisPosition="none">
              <x14:cfvo type="num">
                <xm:f>0</xm:f>
              </x14:cfvo>
              <x14:cfvo type="num">
                <xm:f>1</xm:f>
              </x14:cfvo>
              <x14:negativeFillColor rgb="FFFFFFFF"/>
            </x14:dataBar>
          </x14:cfRule>
          <xm:sqref>K7:K32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S34"/>
  <sheetViews>
    <sheetView showGridLines="0" rightToLeft="1" view="pageBreakPreview" zoomScale="70" zoomScaleNormal="40" zoomScaleSheetLayoutView="70" zoomScalePageLayoutView="55" workbookViewId="0">
      <selection activeCell="F17" sqref="F17"/>
    </sheetView>
  </sheetViews>
  <sheetFormatPr defaultColWidth="8.69921875" defaultRowHeight="13.8" x14ac:dyDescent="0.25"/>
  <cols>
    <col min="1" max="1" width="29.796875" style="1" customWidth="1"/>
    <col min="2" max="2" width="45.09765625" customWidth="1"/>
    <col min="3" max="3" width="10.69921875" customWidth="1"/>
    <col min="4" max="8" width="22.69921875" customWidth="1"/>
    <col min="9" max="9" width="17.3984375" customWidth="1"/>
    <col min="10" max="10" width="19.3984375" style="2" customWidth="1"/>
    <col min="11" max="11" width="18.19921875" customWidth="1"/>
    <col min="12" max="12" width="2.69921875" customWidth="1"/>
    <col min="13" max="13" width="6" hidden="1" customWidth="1"/>
    <col min="14" max="14" width="8.5" customWidth="1"/>
    <col min="15" max="15" width="9.5" bestFit="1" customWidth="1"/>
    <col min="16" max="24" width="8.5" customWidth="1"/>
    <col min="25" max="25" width="11.8984375" bestFit="1" customWidth="1"/>
    <col min="26" max="72" width="8.5" customWidth="1"/>
  </cols>
  <sheetData>
    <row r="1" spans="1:71" ht="138" customHeight="1" x14ac:dyDescent="1.45">
      <c r="A1" s="137" t="s">
        <v>0</v>
      </c>
      <c r="B1" s="137"/>
      <c r="C1" s="137"/>
      <c r="D1" s="137"/>
      <c r="E1" s="137"/>
      <c r="F1" s="137"/>
      <c r="G1" s="137"/>
      <c r="H1" s="137"/>
      <c r="I1" s="137"/>
      <c r="J1" s="137"/>
      <c r="K1" s="3"/>
      <c r="M1" s="4"/>
      <c r="N1" s="10" t="s">
        <v>1</v>
      </c>
      <c r="O1" s="119">
        <f ca="1">TODAY()</f>
        <v>46315</v>
      </c>
      <c r="W1" s="7"/>
      <c r="X1" s="8"/>
    </row>
    <row r="2" spans="1:71" ht="30" customHeight="1" x14ac:dyDescent="0.6">
      <c r="B2" s="9"/>
      <c r="C2" s="9"/>
      <c r="D2" s="9"/>
      <c r="E2" s="9"/>
      <c r="F2" s="9"/>
      <c r="G2" s="9"/>
      <c r="H2" s="9"/>
      <c r="N2" s="10" t="s">
        <v>2</v>
      </c>
      <c r="O2" s="11" t="str">
        <f ca="1">IF(TODAY()&lt;$N$5,"-","أسبوع " &amp; ROUNDUP((TODAY()-$N$5+1)/7,0))</f>
        <v>أسبوع 10</v>
      </c>
      <c r="W2" s="7"/>
      <c r="X2" s="12"/>
    </row>
    <row r="3" spans="1:71" ht="30" customHeight="1" x14ac:dyDescent="0.25">
      <c r="B3" s="13"/>
      <c r="C3" s="13"/>
      <c r="D3" s="13"/>
      <c r="E3" s="13"/>
      <c r="F3" s="13"/>
      <c r="G3" s="13"/>
      <c r="H3" s="13"/>
      <c r="I3" s="14"/>
      <c r="N3" s="15" t="s">
        <v>3</v>
      </c>
      <c r="O3" s="16" t="s">
        <v>4</v>
      </c>
      <c r="P3" s="17" t="s">
        <v>5</v>
      </c>
    </row>
    <row r="4" spans="1:71" ht="18" customHeight="1" thickBot="1" x14ac:dyDescent="0.3">
      <c r="A4" s="18"/>
      <c r="B4" s="19"/>
      <c r="C4" s="19"/>
      <c r="D4" s="19"/>
      <c r="E4" s="19"/>
      <c r="F4" s="19"/>
      <c r="G4" s="19"/>
      <c r="H4" s="19"/>
      <c r="J4" s="20"/>
      <c r="N4" s="138" t="s">
        <v>6</v>
      </c>
      <c r="O4" s="138"/>
      <c r="P4" s="138"/>
      <c r="Q4" s="138"/>
      <c r="R4" s="138"/>
      <c r="S4" s="138"/>
      <c r="T4" s="138"/>
      <c r="U4" s="138"/>
      <c r="V4" s="138"/>
      <c r="W4" s="138"/>
      <c r="X4" s="138"/>
      <c r="Y4" s="138"/>
      <c r="Z4" s="138"/>
      <c r="AA4" s="138"/>
      <c r="AB4" s="138"/>
      <c r="AC4" s="138"/>
      <c r="AD4" s="138"/>
      <c r="AE4" s="138"/>
      <c r="AF4" s="138"/>
      <c r="AG4" s="138"/>
      <c r="AH4" s="138"/>
      <c r="AI4" s="138"/>
      <c r="AK4" s="21"/>
      <c r="AR4" s="21"/>
      <c r="AY4" s="21"/>
      <c r="BF4" s="21"/>
      <c r="BM4" s="21"/>
    </row>
    <row r="5" spans="1:71" ht="13.5" customHeight="1" thickBot="1" x14ac:dyDescent="0.3">
      <c r="A5" s="139" t="s">
        <v>7</v>
      </c>
      <c r="B5" s="140" t="s">
        <v>7</v>
      </c>
      <c r="C5" s="141" t="s">
        <v>9</v>
      </c>
      <c r="D5" s="142" t="s">
        <v>10</v>
      </c>
      <c r="E5" s="142" t="s">
        <v>11</v>
      </c>
      <c r="F5" s="142" t="s">
        <v>121</v>
      </c>
      <c r="G5" s="143" t="s">
        <v>14</v>
      </c>
      <c r="H5" s="144" t="s">
        <v>16</v>
      </c>
      <c r="I5" s="145" t="s">
        <v>17</v>
      </c>
      <c r="J5" s="145" t="s">
        <v>18</v>
      </c>
      <c r="K5" s="146" t="s">
        <v>19</v>
      </c>
      <c r="N5" s="22">
        <v>46250</v>
      </c>
      <c r="O5" s="22">
        <f>N5+7</f>
        <v>46257</v>
      </c>
      <c r="P5" s="22">
        <f>O5+7</f>
        <v>46264</v>
      </c>
      <c r="Q5" s="22">
        <f>P5+7</f>
        <v>46271</v>
      </c>
      <c r="R5" s="22">
        <f>Q5+7</f>
        <v>46278</v>
      </c>
      <c r="S5" s="22">
        <f>R5+7</f>
        <v>46285</v>
      </c>
      <c r="T5" s="22"/>
      <c r="U5" s="22"/>
      <c r="V5" s="22">
        <f>S5+7</f>
        <v>46292</v>
      </c>
      <c r="W5" s="22">
        <f t="shared" ref="W5:AI5" si="0">V5+7</f>
        <v>46299</v>
      </c>
      <c r="X5" s="22">
        <f t="shared" si="0"/>
        <v>46306</v>
      </c>
      <c r="Y5" s="22">
        <f t="shared" si="0"/>
        <v>46313</v>
      </c>
      <c r="Z5" s="22">
        <f t="shared" si="0"/>
        <v>46320</v>
      </c>
      <c r="AA5" s="22">
        <f t="shared" si="0"/>
        <v>46327</v>
      </c>
      <c r="AB5" s="22">
        <f t="shared" si="0"/>
        <v>46334</v>
      </c>
      <c r="AC5" s="22">
        <f t="shared" si="0"/>
        <v>46341</v>
      </c>
      <c r="AD5" s="22">
        <f t="shared" si="0"/>
        <v>46348</v>
      </c>
      <c r="AE5" s="22">
        <f t="shared" si="0"/>
        <v>46355</v>
      </c>
      <c r="AF5" s="22">
        <f t="shared" si="0"/>
        <v>46362</v>
      </c>
      <c r="AG5" s="22">
        <f t="shared" si="0"/>
        <v>46369</v>
      </c>
      <c r="AH5" s="22">
        <f t="shared" si="0"/>
        <v>46376</v>
      </c>
      <c r="AI5" s="22">
        <f t="shared" si="0"/>
        <v>46383</v>
      </c>
      <c r="AJ5" s="23"/>
      <c r="AK5" s="24"/>
      <c r="AL5" s="25"/>
      <c r="AM5" s="25"/>
      <c r="AN5" s="25"/>
      <c r="AO5" s="25"/>
      <c r="AP5" s="25"/>
      <c r="AQ5" s="23"/>
      <c r="AR5" s="24"/>
      <c r="AS5" s="25"/>
      <c r="AT5" s="25"/>
      <c r="AU5" s="25"/>
      <c r="AV5" s="25"/>
      <c r="AW5" s="25"/>
      <c r="AX5" s="23"/>
      <c r="AY5" s="24"/>
      <c r="AZ5" s="25"/>
      <c r="BA5" s="25"/>
      <c r="BB5" s="25"/>
      <c r="BC5" s="25"/>
      <c r="BD5" s="25"/>
      <c r="BE5" s="23"/>
      <c r="BF5" s="24"/>
      <c r="BG5" s="25"/>
      <c r="BH5" s="25"/>
      <c r="BI5" s="25"/>
      <c r="BJ5" s="25"/>
      <c r="BK5" s="25"/>
      <c r="BL5" s="23"/>
      <c r="BM5" s="24"/>
      <c r="BN5" s="25"/>
      <c r="BO5" s="25"/>
      <c r="BP5" s="25"/>
      <c r="BQ5" s="25"/>
      <c r="BR5" s="25"/>
      <c r="BS5" s="25"/>
    </row>
    <row r="6" spans="1:71" ht="28.5" customHeight="1" thickBot="1" x14ac:dyDescent="0.3">
      <c r="A6" s="139"/>
      <c r="B6" s="140"/>
      <c r="C6" s="141"/>
      <c r="D6" s="142"/>
      <c r="E6" s="142"/>
      <c r="F6" s="142"/>
      <c r="G6" s="142"/>
      <c r="H6" s="144"/>
      <c r="I6" s="144"/>
      <c r="J6" s="144"/>
      <c r="K6" s="146"/>
      <c r="N6" s="26" t="s">
        <v>20</v>
      </c>
      <c r="O6" s="26" t="s">
        <v>21</v>
      </c>
      <c r="P6" s="26" t="s">
        <v>22</v>
      </c>
      <c r="Q6" s="26" t="s">
        <v>23</v>
      </c>
      <c r="R6" s="26" t="s">
        <v>24</v>
      </c>
      <c r="S6" s="26" t="s">
        <v>25</v>
      </c>
      <c r="T6" s="26" t="s">
        <v>26</v>
      </c>
      <c r="U6" s="26" t="s">
        <v>14</v>
      </c>
      <c r="V6" s="26" t="s">
        <v>27</v>
      </c>
      <c r="W6" s="26" t="s">
        <v>28</v>
      </c>
      <c r="X6" s="26" t="s">
        <v>29</v>
      </c>
      <c r="Y6" s="26" t="s">
        <v>30</v>
      </c>
      <c r="Z6" s="26" t="s">
        <v>31</v>
      </c>
      <c r="AA6" s="26" t="s">
        <v>32</v>
      </c>
      <c r="AB6" s="26" t="s">
        <v>33</v>
      </c>
      <c r="AC6" s="26" t="s">
        <v>34</v>
      </c>
      <c r="AD6" s="26" t="s">
        <v>35</v>
      </c>
      <c r="AE6" s="26" t="s">
        <v>36</v>
      </c>
      <c r="AF6" s="26" t="s">
        <v>37</v>
      </c>
      <c r="AG6" s="26" t="s">
        <v>38</v>
      </c>
      <c r="AH6" s="26" t="s">
        <v>39</v>
      </c>
      <c r="AI6" s="26" t="s">
        <v>40</v>
      </c>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8"/>
    </row>
    <row r="7" spans="1:71" ht="9" customHeight="1" thickBot="1" x14ac:dyDescent="0.3">
      <c r="A7" s="1" t="s">
        <v>41</v>
      </c>
      <c r="B7" s="29"/>
      <c r="C7" s="29"/>
      <c r="D7" s="29"/>
      <c r="E7" s="29"/>
      <c r="F7" s="29"/>
      <c r="G7" s="29"/>
      <c r="H7" s="29"/>
      <c r="I7" s="29"/>
      <c r="J7" s="29"/>
      <c r="K7" s="29"/>
      <c r="M7" t="str">
        <f t="shared" ref="M7:M32" si="1">IF(OR(ISBLANK(task_start),ISBLANK(task_end)),"",task_end-task_start+1)</f>
        <v/>
      </c>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row>
    <row r="8" spans="1:71" s="43" customFormat="1" ht="30" customHeight="1" thickBot="1" x14ac:dyDescent="0.3">
      <c r="A8" s="136" t="s">
        <v>91</v>
      </c>
      <c r="B8" s="107" t="s">
        <v>92</v>
      </c>
      <c r="C8" s="120" t="s">
        <v>44</v>
      </c>
      <c r="D8" s="120">
        <v>20700</v>
      </c>
      <c r="E8" s="120">
        <f t="shared" ref="E8:E30" ca="1" si="2">SUMPRODUCT(ISNUMBER($N$5:$AI$5)*($N$5:$AI$5&lt;=TODAY())*(N8:AI8))</f>
        <v>0</v>
      </c>
      <c r="F8" s="120">
        <f>D8</f>
        <v>20700</v>
      </c>
      <c r="G8" s="120">
        <f t="shared" ref="G8:G30" ca="1" si="3">F8-E8</f>
        <v>20700</v>
      </c>
      <c r="H8" s="120">
        <f t="shared" ref="H8:H30" si="4">D8-F8</f>
        <v>0</v>
      </c>
      <c r="I8" s="95">
        <f t="shared" ref="I8:I30" si="5">F8/D8</f>
        <v>1</v>
      </c>
      <c r="J8" s="96">
        <v>46254</v>
      </c>
      <c r="K8" s="97">
        <v>46254</v>
      </c>
      <c r="L8" s="40"/>
      <c r="M8" s="41">
        <f t="shared" si="1"/>
        <v>1</v>
      </c>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row>
    <row r="9" spans="1:71" s="43" customFormat="1" ht="45.75" customHeight="1" thickBot="1" x14ac:dyDescent="0.3">
      <c r="A9" s="136"/>
      <c r="B9" s="107" t="s">
        <v>93</v>
      </c>
      <c r="C9" s="121" t="s">
        <v>94</v>
      </c>
      <c r="D9" s="121">
        <v>3720</v>
      </c>
      <c r="E9" s="121">
        <f t="shared" ca="1" si="2"/>
        <v>0</v>
      </c>
      <c r="F9" s="121">
        <f t="shared" ref="F9:F10" si="6">D9</f>
        <v>3720</v>
      </c>
      <c r="G9" s="121">
        <f t="shared" ca="1" si="3"/>
        <v>3720</v>
      </c>
      <c r="H9" s="121">
        <f t="shared" si="4"/>
        <v>0</v>
      </c>
      <c r="I9" s="95">
        <f t="shared" si="5"/>
        <v>1</v>
      </c>
      <c r="J9" s="96">
        <v>46256</v>
      </c>
      <c r="K9" s="96">
        <v>46261</v>
      </c>
      <c r="L9" s="40"/>
      <c r="M9" s="41">
        <f t="shared" si="1"/>
        <v>6</v>
      </c>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row>
    <row r="10" spans="1:71" s="43" customFormat="1" ht="40.5" customHeight="1" thickBot="1" x14ac:dyDescent="0.3">
      <c r="A10" s="136"/>
      <c r="B10" s="107" t="s">
        <v>95</v>
      </c>
      <c r="C10" s="122" t="s">
        <v>94</v>
      </c>
      <c r="D10" s="122">
        <v>3720</v>
      </c>
      <c r="E10" s="122">
        <f t="shared" ca="1" si="2"/>
        <v>0</v>
      </c>
      <c r="F10" s="122">
        <f t="shared" si="6"/>
        <v>3720</v>
      </c>
      <c r="G10" s="122">
        <f t="shared" ca="1" si="3"/>
        <v>3720</v>
      </c>
      <c r="H10" s="122">
        <f t="shared" si="4"/>
        <v>0</v>
      </c>
      <c r="I10" s="95">
        <f t="shared" si="5"/>
        <v>1</v>
      </c>
      <c r="J10" s="96">
        <v>46255</v>
      </c>
      <c r="K10" s="96">
        <v>46263</v>
      </c>
      <c r="L10" s="40"/>
      <c r="M10" s="41">
        <f t="shared" si="1"/>
        <v>9</v>
      </c>
      <c r="N10" s="53"/>
      <c r="O10" s="53"/>
      <c r="P10" s="53"/>
      <c r="Q10" s="53"/>
      <c r="R10" s="53"/>
      <c r="S10" s="53"/>
      <c r="T10" s="53"/>
      <c r="U10" s="53"/>
      <c r="V10" s="53"/>
      <c r="W10" s="53"/>
      <c r="X10" s="53"/>
      <c r="Y10" s="53"/>
      <c r="Z10" s="53"/>
      <c r="AA10" s="53"/>
      <c r="AB10" s="63"/>
      <c r="AC10" s="6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3"/>
      <c r="BP10" s="53"/>
      <c r="BQ10" s="53"/>
      <c r="BR10" s="53"/>
      <c r="BS10" s="53"/>
    </row>
    <row r="11" spans="1:71" s="43" customFormat="1" ht="72" customHeight="1" thickBot="1" x14ac:dyDescent="0.3">
      <c r="A11" s="136" t="s">
        <v>96</v>
      </c>
      <c r="B11" s="107" t="s">
        <v>97</v>
      </c>
      <c r="C11" s="123" t="s">
        <v>98</v>
      </c>
      <c r="D11" s="123">
        <v>1</v>
      </c>
      <c r="E11" s="123">
        <f t="shared" ca="1" si="2"/>
        <v>0.84000000000000008</v>
      </c>
      <c r="F11" s="123">
        <f>0.8*D11</f>
        <v>0.8</v>
      </c>
      <c r="G11" s="123">
        <f t="shared" ca="1" si="3"/>
        <v>-4.0000000000000036E-2</v>
      </c>
      <c r="H11" s="123">
        <f t="shared" si="4"/>
        <v>0.19999999999999996</v>
      </c>
      <c r="I11" s="95">
        <f t="shared" si="5"/>
        <v>0.8</v>
      </c>
      <c r="J11" s="96">
        <v>46278</v>
      </c>
      <c r="K11" s="96">
        <v>46339</v>
      </c>
      <c r="L11" s="40"/>
      <c r="M11" s="41">
        <f t="shared" si="1"/>
        <v>62</v>
      </c>
      <c r="N11" s="53"/>
      <c r="O11" s="53"/>
      <c r="P11" s="53"/>
      <c r="Q11" s="53"/>
      <c r="R11" s="53">
        <v>0.14000000000000001</v>
      </c>
      <c r="S11" s="53">
        <v>0.14000000000000001</v>
      </c>
      <c r="T11" s="53"/>
      <c r="U11" s="53"/>
      <c r="V11" s="53">
        <v>0.14000000000000001</v>
      </c>
      <c r="W11" s="53">
        <v>0.14000000000000001</v>
      </c>
      <c r="X11" s="53">
        <v>0.14000000000000001</v>
      </c>
      <c r="Y11" s="53">
        <v>0.14000000000000001</v>
      </c>
      <c r="Z11" s="53">
        <v>0.14000000000000001</v>
      </c>
      <c r="AA11" s="53">
        <v>0.14000000000000001</v>
      </c>
      <c r="AB11" s="53">
        <v>0.14000000000000001</v>
      </c>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3"/>
      <c r="BP11" s="53"/>
      <c r="BQ11" s="53"/>
      <c r="BR11" s="53"/>
      <c r="BS11" s="53"/>
    </row>
    <row r="12" spans="1:71" s="43" customFormat="1" ht="42" customHeight="1" thickBot="1" x14ac:dyDescent="0.3">
      <c r="A12" s="136"/>
      <c r="B12" s="107" t="s">
        <v>99</v>
      </c>
      <c r="C12" s="124" t="s">
        <v>98</v>
      </c>
      <c r="D12" s="124">
        <v>1</v>
      </c>
      <c r="E12" s="124">
        <f t="shared" ca="1" si="2"/>
        <v>0.33333333333333398</v>
      </c>
      <c r="F12" s="124"/>
      <c r="G12" s="124">
        <f t="shared" ca="1" si="3"/>
        <v>-0.33333333333333398</v>
      </c>
      <c r="H12" s="124">
        <f t="shared" si="4"/>
        <v>1</v>
      </c>
      <c r="I12" s="95">
        <f t="shared" si="5"/>
        <v>0</v>
      </c>
      <c r="J12" s="96">
        <v>46312</v>
      </c>
      <c r="K12" s="96">
        <v>46342</v>
      </c>
      <c r="L12" s="40"/>
      <c r="M12" s="41">
        <f t="shared" si="1"/>
        <v>31</v>
      </c>
      <c r="N12" s="53"/>
      <c r="O12" s="53"/>
      <c r="P12" s="53"/>
      <c r="Q12" s="53"/>
      <c r="R12" s="53"/>
      <c r="S12" s="53"/>
      <c r="T12" s="53"/>
      <c r="U12" s="53"/>
      <c r="V12" s="53"/>
      <c r="W12" s="53"/>
      <c r="X12" s="125">
        <v>0.16666666666666699</v>
      </c>
      <c r="Y12" s="125">
        <v>0.16666666666666699</v>
      </c>
      <c r="Z12" s="125">
        <v>0.16666666666666699</v>
      </c>
      <c r="AA12" s="125">
        <v>0.16666666666666699</v>
      </c>
      <c r="AB12" s="125">
        <v>0.16666666666666699</v>
      </c>
      <c r="AC12" s="125">
        <v>0.16666666666666699</v>
      </c>
      <c r="AD12" s="53"/>
      <c r="AE12" s="53"/>
      <c r="AF12" s="6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3"/>
      <c r="BP12" s="53"/>
      <c r="BQ12" s="53"/>
      <c r="BR12" s="53"/>
      <c r="BS12" s="53"/>
    </row>
    <row r="13" spans="1:71" s="43" customFormat="1" ht="52.5" customHeight="1" thickBot="1" x14ac:dyDescent="0.3">
      <c r="A13" s="136" t="s">
        <v>100</v>
      </c>
      <c r="B13" s="107" t="s">
        <v>97</v>
      </c>
      <c r="C13" s="120" t="s">
        <v>98</v>
      </c>
      <c r="D13" s="120">
        <v>1</v>
      </c>
      <c r="E13" s="120">
        <f t="shared" ca="1" si="2"/>
        <v>0.66666666666666585</v>
      </c>
      <c r="F13" s="120">
        <f>0.7*D13</f>
        <v>0.7</v>
      </c>
      <c r="G13" s="120">
        <f t="shared" ca="1" si="3"/>
        <v>3.3333333333334103E-2</v>
      </c>
      <c r="H13" s="120">
        <f t="shared" si="4"/>
        <v>0.30000000000000004</v>
      </c>
      <c r="I13" s="95">
        <f t="shared" si="5"/>
        <v>0.7</v>
      </c>
      <c r="J13" s="96">
        <v>46278</v>
      </c>
      <c r="K13" s="96">
        <v>46339</v>
      </c>
      <c r="L13" s="40"/>
      <c r="M13" s="41">
        <f t="shared" si="1"/>
        <v>62</v>
      </c>
      <c r="N13" s="53"/>
      <c r="O13" s="53"/>
      <c r="P13" s="53"/>
      <c r="Q13" s="53"/>
      <c r="R13" s="125">
        <v>0.11111111111111099</v>
      </c>
      <c r="S13" s="125">
        <v>0.11111111111111099</v>
      </c>
      <c r="T13" s="125"/>
      <c r="U13" s="125"/>
      <c r="V13" s="125">
        <v>0.11111111111111099</v>
      </c>
      <c r="W13" s="125">
        <v>0.11111111111111099</v>
      </c>
      <c r="X13" s="125">
        <v>0.11111111111111099</v>
      </c>
      <c r="Y13" s="125">
        <v>0.11111111111111099</v>
      </c>
      <c r="Z13" s="125">
        <v>0.11111111111111099</v>
      </c>
      <c r="AA13" s="125">
        <v>0.11111111111111099</v>
      </c>
      <c r="AB13" s="125">
        <v>0.11111111111111099</v>
      </c>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3"/>
      <c r="BP13" s="53"/>
      <c r="BQ13" s="53"/>
      <c r="BR13" s="53"/>
      <c r="BS13" s="53"/>
    </row>
    <row r="14" spans="1:71" s="43" customFormat="1" ht="30" customHeight="1" thickBot="1" x14ac:dyDescent="0.3">
      <c r="A14" s="136"/>
      <c r="B14" s="107" t="s">
        <v>99</v>
      </c>
      <c r="C14" s="122" t="s">
        <v>98</v>
      </c>
      <c r="D14" s="122">
        <v>1</v>
      </c>
      <c r="E14" s="122">
        <f t="shared" ca="1" si="2"/>
        <v>0.33333333333333398</v>
      </c>
      <c r="F14" s="122"/>
      <c r="G14" s="122">
        <f t="shared" ca="1" si="3"/>
        <v>-0.33333333333333398</v>
      </c>
      <c r="H14" s="122">
        <f t="shared" si="4"/>
        <v>1</v>
      </c>
      <c r="I14" s="95">
        <f t="shared" si="5"/>
        <v>0</v>
      </c>
      <c r="J14" s="96">
        <v>46312</v>
      </c>
      <c r="K14" s="97">
        <v>46342</v>
      </c>
      <c r="L14" s="40"/>
      <c r="M14" s="41">
        <f t="shared" si="1"/>
        <v>31</v>
      </c>
      <c r="R14" s="125"/>
      <c r="S14" s="125"/>
      <c r="T14" s="125"/>
      <c r="U14" s="125"/>
      <c r="V14" s="125"/>
      <c r="W14" s="125"/>
      <c r="X14" s="125">
        <v>0.16666666666666699</v>
      </c>
      <c r="Y14" s="125">
        <v>0.16666666666666699</v>
      </c>
      <c r="Z14" s="125">
        <v>0.16666666666666699</v>
      </c>
      <c r="AA14" s="125">
        <v>0.16666666666666699</v>
      </c>
      <c r="AB14" s="125">
        <v>0.16666666666666699</v>
      </c>
      <c r="AC14" s="125">
        <v>0.16666666666666699</v>
      </c>
    </row>
    <row r="15" spans="1:71" s="43" customFormat="1" ht="30" customHeight="1" thickBot="1" x14ac:dyDescent="0.3">
      <c r="A15" s="136" t="s">
        <v>101</v>
      </c>
      <c r="B15" s="107" t="s">
        <v>102</v>
      </c>
      <c r="C15" s="126" t="s">
        <v>98</v>
      </c>
      <c r="D15" s="126">
        <v>1</v>
      </c>
      <c r="E15" s="126">
        <f t="shared" ca="1" si="2"/>
        <v>0.3333333333333332</v>
      </c>
      <c r="F15" s="126">
        <f>0.05*D15</f>
        <v>0.05</v>
      </c>
      <c r="G15" s="126">
        <f t="shared" ca="1" si="3"/>
        <v>-0.28333333333333321</v>
      </c>
      <c r="H15" s="126">
        <f t="shared" si="4"/>
        <v>0.95</v>
      </c>
      <c r="I15" s="95">
        <f t="shared" si="5"/>
        <v>0.05</v>
      </c>
      <c r="J15" s="96">
        <v>46296</v>
      </c>
      <c r="K15" s="96">
        <v>46369</v>
      </c>
      <c r="L15" s="40"/>
      <c r="M15" s="41">
        <f t="shared" si="1"/>
        <v>74</v>
      </c>
      <c r="N15" s="53"/>
      <c r="O15" s="53"/>
      <c r="P15" s="53"/>
      <c r="Q15" s="53"/>
      <c r="R15" s="53"/>
      <c r="S15" s="53"/>
      <c r="T15" s="53"/>
      <c r="U15" s="53"/>
      <c r="V15" s="125">
        <v>8.3333333333333301E-2</v>
      </c>
      <c r="W15" s="125">
        <v>8.3333333333333301E-2</v>
      </c>
      <c r="X15" s="125">
        <v>8.3333333333333301E-2</v>
      </c>
      <c r="Y15" s="125">
        <v>8.3333333333333301E-2</v>
      </c>
      <c r="Z15" s="125">
        <v>8.3333333333333301E-2</v>
      </c>
      <c r="AA15" s="125">
        <v>8.3333333333333301E-2</v>
      </c>
      <c r="AB15" s="125">
        <v>8.3333333333333301E-2</v>
      </c>
      <c r="AC15" s="125">
        <v>8.3333333333333301E-2</v>
      </c>
      <c r="AD15" s="125">
        <v>8.3333333333333301E-2</v>
      </c>
      <c r="AE15" s="125">
        <v>8.3333333333333301E-2</v>
      </c>
      <c r="AF15" s="125">
        <v>8.3333333333333301E-2</v>
      </c>
      <c r="AG15" s="125">
        <v>8.3333333333333301E-2</v>
      </c>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row>
    <row r="16" spans="1:71" s="43" customFormat="1" ht="30" customHeight="1" thickBot="1" x14ac:dyDescent="0.3">
      <c r="A16" s="136"/>
      <c r="B16" s="107" t="s">
        <v>99</v>
      </c>
      <c r="C16" s="121" t="s">
        <v>98</v>
      </c>
      <c r="D16" s="121">
        <v>1</v>
      </c>
      <c r="E16" s="121">
        <f t="shared" ca="1" si="2"/>
        <v>0</v>
      </c>
      <c r="F16" s="121"/>
      <c r="G16" s="121">
        <f t="shared" ca="1" si="3"/>
        <v>0</v>
      </c>
      <c r="H16" s="121">
        <f t="shared" si="4"/>
        <v>1</v>
      </c>
      <c r="I16" s="95">
        <f t="shared" si="5"/>
        <v>0</v>
      </c>
      <c r="J16" s="96">
        <v>46324</v>
      </c>
      <c r="K16" s="96">
        <v>46369</v>
      </c>
      <c r="L16" s="40"/>
      <c r="M16" s="41">
        <f t="shared" si="1"/>
        <v>46</v>
      </c>
      <c r="N16" s="53"/>
      <c r="O16" s="53"/>
      <c r="P16" s="53"/>
      <c r="Q16" s="53"/>
      <c r="R16" s="53"/>
      <c r="S16" s="53"/>
      <c r="T16" s="53"/>
      <c r="U16" s="53"/>
      <c r="V16" s="53"/>
      <c r="W16" s="53"/>
      <c r="X16" s="53"/>
      <c r="Y16" s="53"/>
      <c r="Z16" s="53">
        <v>0.125</v>
      </c>
      <c r="AA16" s="53">
        <v>0.125</v>
      </c>
      <c r="AB16" s="53">
        <v>0.125</v>
      </c>
      <c r="AC16" s="53">
        <v>0.125</v>
      </c>
      <c r="AD16" s="53">
        <v>0.125</v>
      </c>
      <c r="AE16" s="53">
        <v>0.125</v>
      </c>
      <c r="AF16" s="53">
        <v>0.125</v>
      </c>
      <c r="AG16" s="53">
        <v>0.125</v>
      </c>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row>
    <row r="17" spans="1:71" s="43" customFormat="1" ht="30" customHeight="1" thickBot="1" x14ac:dyDescent="0.3">
      <c r="A17" s="136" t="s">
        <v>103</v>
      </c>
      <c r="B17" s="107" t="s">
        <v>102</v>
      </c>
      <c r="C17" s="126" t="s">
        <v>98</v>
      </c>
      <c r="D17" s="126">
        <v>1</v>
      </c>
      <c r="E17" s="126">
        <f t="shared" ca="1" si="2"/>
        <v>0.11111111111111099</v>
      </c>
      <c r="F17" s="126">
        <f>0.05*D17</f>
        <v>0.05</v>
      </c>
      <c r="G17" s="126">
        <f t="shared" ca="1" si="3"/>
        <v>-6.1111111111110991E-2</v>
      </c>
      <c r="H17" s="126">
        <f t="shared" si="4"/>
        <v>0.95</v>
      </c>
      <c r="I17" s="95">
        <f t="shared" si="5"/>
        <v>0.05</v>
      </c>
      <c r="J17" s="96">
        <v>46319</v>
      </c>
      <c r="K17" s="96">
        <v>46371</v>
      </c>
      <c r="L17" s="40"/>
      <c r="M17" s="41">
        <f t="shared" si="1"/>
        <v>53</v>
      </c>
      <c r="N17" s="53"/>
      <c r="O17" s="53"/>
      <c r="P17" s="53"/>
      <c r="Q17" s="53"/>
      <c r="R17" s="53"/>
      <c r="S17" s="53"/>
      <c r="T17" s="53"/>
      <c r="U17" s="53"/>
      <c r="V17" s="53"/>
      <c r="W17" s="53"/>
      <c r="X17" s="53"/>
      <c r="Y17" s="53">
        <v>0.11111111111111099</v>
      </c>
      <c r="Z17" s="53">
        <v>0.11111111111111099</v>
      </c>
      <c r="AA17" s="53">
        <v>0.11111111111111099</v>
      </c>
      <c r="AB17" s="53">
        <v>0.11111111111111099</v>
      </c>
      <c r="AC17" s="53">
        <v>0.11111111111111099</v>
      </c>
      <c r="AD17" s="53">
        <v>0.11111111111111099</v>
      </c>
      <c r="AE17" s="53">
        <v>0.11111111111111099</v>
      </c>
      <c r="AF17" s="53">
        <v>0.11111111111111099</v>
      </c>
      <c r="AG17" s="53">
        <v>0.11111111111111099</v>
      </c>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row>
    <row r="18" spans="1:71" s="43" customFormat="1" ht="30" customHeight="1" thickBot="1" x14ac:dyDescent="0.3">
      <c r="A18" s="136"/>
      <c r="B18" s="107" t="s">
        <v>99</v>
      </c>
      <c r="C18" s="122" t="s">
        <v>98</v>
      </c>
      <c r="D18" s="122">
        <v>1</v>
      </c>
      <c r="E18" s="122">
        <f t="shared" ca="1" si="2"/>
        <v>0</v>
      </c>
      <c r="F18" s="122"/>
      <c r="G18" s="122">
        <f t="shared" ca="1" si="3"/>
        <v>0</v>
      </c>
      <c r="H18" s="122">
        <f t="shared" si="4"/>
        <v>1</v>
      </c>
      <c r="I18" s="95">
        <f t="shared" si="5"/>
        <v>0</v>
      </c>
      <c r="J18" s="96">
        <v>46333</v>
      </c>
      <c r="K18" s="96">
        <v>46379</v>
      </c>
      <c r="L18" s="40"/>
      <c r="M18" s="41">
        <f t="shared" si="1"/>
        <v>47</v>
      </c>
      <c r="N18" s="53"/>
      <c r="O18" s="53"/>
      <c r="P18" s="53"/>
      <c r="Q18" s="53"/>
      <c r="R18" s="53"/>
      <c r="S18" s="53"/>
      <c r="T18" s="53"/>
      <c r="U18" s="53"/>
      <c r="V18" s="53"/>
      <c r="W18" s="53"/>
      <c r="X18" s="53"/>
      <c r="Y18" s="53"/>
      <c r="Z18" s="53"/>
      <c r="AA18" s="53">
        <v>0.11111111111111099</v>
      </c>
      <c r="AB18" s="53">
        <v>0.11111111111111099</v>
      </c>
      <c r="AC18" s="53">
        <v>0.11111111111111099</v>
      </c>
      <c r="AD18" s="53">
        <v>0.11111111111111099</v>
      </c>
      <c r="AE18" s="53">
        <v>0.11111111111111099</v>
      </c>
      <c r="AF18" s="53">
        <v>0.11111111111111099</v>
      </c>
      <c r="AG18" s="53">
        <v>0.11111111111111099</v>
      </c>
      <c r="AH18" s="53">
        <v>0.11111111111111099</v>
      </c>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row>
    <row r="19" spans="1:71" s="43" customFormat="1" ht="30" customHeight="1" thickBot="1" x14ac:dyDescent="0.3">
      <c r="A19" s="136" t="s">
        <v>104</v>
      </c>
      <c r="B19" s="107" t="s">
        <v>102</v>
      </c>
      <c r="C19" s="120" t="s">
        <v>48</v>
      </c>
      <c r="D19" s="120">
        <v>700</v>
      </c>
      <c r="E19" s="120">
        <f t="shared" ca="1" si="2"/>
        <v>235.2</v>
      </c>
      <c r="F19" s="120">
        <f>0.65*D19</f>
        <v>455</v>
      </c>
      <c r="G19" s="120">
        <f t="shared" ca="1" si="3"/>
        <v>219.8</v>
      </c>
      <c r="H19" s="120">
        <f t="shared" si="4"/>
        <v>245</v>
      </c>
      <c r="I19" s="95">
        <f t="shared" si="5"/>
        <v>0.65</v>
      </c>
      <c r="J19" s="96">
        <v>46254</v>
      </c>
      <c r="K19" s="96">
        <v>46379</v>
      </c>
      <c r="L19" s="40"/>
      <c r="M19" s="41">
        <f t="shared" si="1"/>
        <v>126</v>
      </c>
      <c r="N19" s="53"/>
      <c r="O19" s="53"/>
      <c r="P19" s="53"/>
      <c r="Q19" s="53"/>
      <c r="R19" s="53">
        <v>39.200000000000003</v>
      </c>
      <c r="S19" s="53">
        <v>39.200000000000003</v>
      </c>
      <c r="T19" s="53"/>
      <c r="U19" s="53"/>
      <c r="V19" s="53">
        <v>39.200000000000003</v>
      </c>
      <c r="W19" s="53">
        <v>39.200000000000003</v>
      </c>
      <c r="X19" s="53">
        <v>39.200000000000003</v>
      </c>
      <c r="Y19" s="53">
        <v>39.200000000000003</v>
      </c>
      <c r="Z19" s="53">
        <v>39.200000000000003</v>
      </c>
      <c r="AA19" s="53">
        <v>39.200000000000003</v>
      </c>
      <c r="AB19" s="53">
        <v>39.200000000000003</v>
      </c>
      <c r="AC19" s="53">
        <v>39.200000000000003</v>
      </c>
      <c r="AD19" s="53">
        <v>39.200000000000003</v>
      </c>
      <c r="AE19" s="53">
        <v>39.200000000000003</v>
      </c>
      <c r="AF19" s="53">
        <v>39.200000000000003</v>
      </c>
      <c r="AG19" s="53">
        <v>39.200000000000003</v>
      </c>
      <c r="AH19" s="53">
        <v>39.200000000000003</v>
      </c>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row>
    <row r="20" spans="1:71" s="43" customFormat="1" ht="30" customHeight="1" thickBot="1" x14ac:dyDescent="0.3">
      <c r="A20" s="136"/>
      <c r="B20" s="107" t="s">
        <v>105</v>
      </c>
      <c r="C20" s="122" t="s">
        <v>98</v>
      </c>
      <c r="D20" s="122">
        <v>1</v>
      </c>
      <c r="E20" s="122">
        <f t="shared" ca="1" si="2"/>
        <v>0.11111111111111099</v>
      </c>
      <c r="F20" s="122"/>
      <c r="G20" s="122">
        <f t="shared" ca="1" si="3"/>
        <v>-0.11111111111111099</v>
      </c>
      <c r="H20" s="122">
        <f t="shared" si="4"/>
        <v>1</v>
      </c>
      <c r="I20" s="95">
        <f t="shared" si="5"/>
        <v>0</v>
      </c>
      <c r="J20" s="96">
        <v>46315</v>
      </c>
      <c r="K20" s="97">
        <v>46375</v>
      </c>
      <c r="L20" s="40"/>
      <c r="M20" s="41">
        <f t="shared" si="1"/>
        <v>61</v>
      </c>
      <c r="N20" s="79"/>
      <c r="O20" s="79"/>
      <c r="P20" s="79"/>
      <c r="Q20" s="79"/>
      <c r="R20" s="53"/>
      <c r="S20" s="53"/>
      <c r="T20" s="53"/>
      <c r="U20" s="53"/>
      <c r="V20" s="53"/>
      <c r="W20" s="53"/>
      <c r="X20" s="53"/>
      <c r="Y20" s="53">
        <v>0.11111111111111099</v>
      </c>
      <c r="Z20" s="53">
        <v>0.11111111111111099</v>
      </c>
      <c r="AA20" s="53">
        <v>0.11111111111111099</v>
      </c>
      <c r="AB20" s="53">
        <v>0.11111111111111099</v>
      </c>
      <c r="AC20" s="53">
        <v>0.11111111111111099</v>
      </c>
      <c r="AD20" s="53">
        <v>0.11111111111111099</v>
      </c>
      <c r="AE20" s="53">
        <v>0.11111111111111099</v>
      </c>
      <c r="AF20" s="53">
        <v>0.11111111111111099</v>
      </c>
      <c r="AG20" s="53">
        <v>0.11111111111111099</v>
      </c>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row>
    <row r="21" spans="1:71" s="43" customFormat="1" ht="30" customHeight="1" thickBot="1" x14ac:dyDescent="0.3">
      <c r="A21" s="136" t="s">
        <v>106</v>
      </c>
      <c r="B21" s="107" t="s">
        <v>102</v>
      </c>
      <c r="C21" s="127" t="s">
        <v>48</v>
      </c>
      <c r="D21" s="127">
        <v>700</v>
      </c>
      <c r="E21" s="120">
        <f t="shared" ca="1" si="2"/>
        <v>235.2</v>
      </c>
      <c r="F21" s="120">
        <f>0.65*D21</f>
        <v>455</v>
      </c>
      <c r="G21" s="127">
        <f t="shared" ca="1" si="3"/>
        <v>219.8</v>
      </c>
      <c r="H21" s="127">
        <f t="shared" si="4"/>
        <v>245</v>
      </c>
      <c r="I21" s="95">
        <f t="shared" si="5"/>
        <v>0.65</v>
      </c>
      <c r="J21" s="96">
        <v>46254</v>
      </c>
      <c r="K21" s="96">
        <v>46379</v>
      </c>
      <c r="L21" s="40"/>
      <c r="M21" s="41">
        <f t="shared" si="1"/>
        <v>126</v>
      </c>
      <c r="N21" s="53"/>
      <c r="O21" s="53"/>
      <c r="P21" s="53"/>
      <c r="Q21" s="53"/>
      <c r="R21" s="53">
        <v>39.200000000000003</v>
      </c>
      <c r="S21" s="53">
        <v>39.200000000000003</v>
      </c>
      <c r="T21" s="53"/>
      <c r="U21" s="53"/>
      <c r="V21" s="53">
        <v>39.200000000000003</v>
      </c>
      <c r="W21" s="53">
        <v>39.200000000000003</v>
      </c>
      <c r="X21" s="53">
        <v>39.200000000000003</v>
      </c>
      <c r="Y21" s="53">
        <v>39.200000000000003</v>
      </c>
      <c r="Z21" s="53">
        <v>39.200000000000003</v>
      </c>
      <c r="AA21" s="53">
        <v>39.200000000000003</v>
      </c>
      <c r="AB21" s="53">
        <v>39.200000000000003</v>
      </c>
      <c r="AC21" s="53">
        <v>39.200000000000003</v>
      </c>
      <c r="AD21" s="53">
        <v>39.200000000000003</v>
      </c>
      <c r="AE21" s="53">
        <v>39.200000000000003</v>
      </c>
      <c r="AF21" s="53">
        <v>39.200000000000003</v>
      </c>
      <c r="AG21" s="53">
        <v>39.200000000000003</v>
      </c>
      <c r="AH21" s="53">
        <v>39.200000000000003</v>
      </c>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row>
    <row r="22" spans="1:71" s="43" customFormat="1" ht="30" customHeight="1" thickBot="1" x14ac:dyDescent="0.3">
      <c r="A22" s="136"/>
      <c r="B22" s="107" t="s">
        <v>105</v>
      </c>
      <c r="C22" s="128" t="s">
        <v>98</v>
      </c>
      <c r="D22" s="128">
        <v>1</v>
      </c>
      <c r="E22" s="128">
        <f t="shared" ca="1" si="2"/>
        <v>0.11111111111111099</v>
      </c>
      <c r="F22" s="128"/>
      <c r="G22" s="128">
        <f t="shared" ca="1" si="3"/>
        <v>-0.11111111111111099</v>
      </c>
      <c r="H22" s="128">
        <f t="shared" si="4"/>
        <v>1</v>
      </c>
      <c r="I22" s="95">
        <f t="shared" si="5"/>
        <v>0</v>
      </c>
      <c r="J22" s="96">
        <v>46315</v>
      </c>
      <c r="K22" s="96">
        <v>46375</v>
      </c>
      <c r="L22" s="40"/>
      <c r="M22" s="41">
        <f t="shared" si="1"/>
        <v>61</v>
      </c>
      <c r="N22" s="53"/>
      <c r="O22" s="53"/>
      <c r="P22" s="53"/>
      <c r="Q22" s="53"/>
      <c r="R22" s="53"/>
      <c r="S22" s="53"/>
      <c r="T22" s="53"/>
      <c r="U22" s="53"/>
      <c r="V22" s="53"/>
      <c r="W22" s="53"/>
      <c r="X22" s="53"/>
      <c r="Y22" s="53">
        <v>0.11111111111111099</v>
      </c>
      <c r="Z22" s="53">
        <v>0.11111111111111099</v>
      </c>
      <c r="AA22" s="53">
        <v>0.11111111111111099</v>
      </c>
      <c r="AB22" s="53">
        <v>0.11111111111111099</v>
      </c>
      <c r="AC22" s="53">
        <v>0.11111111111111099</v>
      </c>
      <c r="AD22" s="53">
        <v>0.11111111111111099</v>
      </c>
      <c r="AE22" s="53">
        <v>0.11111111111111099</v>
      </c>
      <c r="AF22" s="53">
        <v>0.11111111111111099</v>
      </c>
      <c r="AG22" s="53">
        <v>0.11111111111111099</v>
      </c>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row>
    <row r="23" spans="1:71" s="43" customFormat="1" ht="30" customHeight="1" thickBot="1" x14ac:dyDescent="0.3">
      <c r="A23" s="136" t="s">
        <v>107</v>
      </c>
      <c r="B23" s="107" t="s">
        <v>102</v>
      </c>
      <c r="C23" s="120" t="s">
        <v>48</v>
      </c>
      <c r="D23" s="120">
        <v>700</v>
      </c>
      <c r="E23" s="120">
        <f t="shared" ca="1" si="2"/>
        <v>235.2</v>
      </c>
      <c r="F23" s="120">
        <f>0.65*D23</f>
        <v>455</v>
      </c>
      <c r="G23" s="120">
        <f t="shared" ca="1" si="3"/>
        <v>219.8</v>
      </c>
      <c r="H23" s="120">
        <f t="shared" si="4"/>
        <v>245</v>
      </c>
      <c r="I23" s="95">
        <f t="shared" si="5"/>
        <v>0.65</v>
      </c>
      <c r="J23" s="96">
        <v>46254</v>
      </c>
      <c r="K23" s="96">
        <v>46379</v>
      </c>
      <c r="L23" s="40"/>
      <c r="M23" s="41">
        <f t="shared" si="1"/>
        <v>126</v>
      </c>
      <c r="N23" s="53"/>
      <c r="O23" s="53"/>
      <c r="P23" s="53"/>
      <c r="Q23" s="53"/>
      <c r="R23" s="53">
        <v>39.200000000000003</v>
      </c>
      <c r="S23" s="53">
        <v>39.200000000000003</v>
      </c>
      <c r="T23" s="53"/>
      <c r="U23" s="53"/>
      <c r="V23" s="53">
        <v>39.200000000000003</v>
      </c>
      <c r="W23" s="53">
        <v>39.200000000000003</v>
      </c>
      <c r="X23" s="53">
        <v>39.200000000000003</v>
      </c>
      <c r="Y23" s="53">
        <v>39.200000000000003</v>
      </c>
      <c r="Z23" s="53">
        <v>39.200000000000003</v>
      </c>
      <c r="AA23" s="53">
        <v>39.200000000000003</v>
      </c>
      <c r="AB23" s="53">
        <v>39.200000000000003</v>
      </c>
      <c r="AC23" s="53">
        <v>39.200000000000003</v>
      </c>
      <c r="AD23" s="53">
        <v>39.200000000000003</v>
      </c>
      <c r="AE23" s="53">
        <v>39.200000000000003</v>
      </c>
      <c r="AF23" s="53">
        <v>39.200000000000003</v>
      </c>
      <c r="AG23" s="53">
        <v>39.200000000000003</v>
      </c>
      <c r="AH23" s="53">
        <v>39.200000000000003</v>
      </c>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row>
    <row r="24" spans="1:71" s="43" customFormat="1" ht="30" customHeight="1" thickBot="1" x14ac:dyDescent="0.3">
      <c r="A24" s="136"/>
      <c r="B24" s="107" t="s">
        <v>105</v>
      </c>
      <c r="C24" s="122" t="s">
        <v>98</v>
      </c>
      <c r="D24" s="122">
        <v>1</v>
      </c>
      <c r="E24" s="122">
        <f t="shared" ca="1" si="2"/>
        <v>0.11111111111111099</v>
      </c>
      <c r="F24" s="122"/>
      <c r="G24" s="122">
        <f t="shared" ca="1" si="3"/>
        <v>-0.11111111111111099</v>
      </c>
      <c r="H24" s="122">
        <f t="shared" si="4"/>
        <v>1</v>
      </c>
      <c r="I24" s="95">
        <f t="shared" si="5"/>
        <v>0</v>
      </c>
      <c r="J24" s="96">
        <v>46315</v>
      </c>
      <c r="K24" s="96">
        <v>46375</v>
      </c>
      <c r="L24" s="40"/>
      <c r="M24" s="41">
        <f t="shared" si="1"/>
        <v>61</v>
      </c>
      <c r="N24" s="53"/>
      <c r="O24" s="53"/>
      <c r="P24" s="53"/>
      <c r="Q24" s="53"/>
      <c r="R24" s="53"/>
      <c r="S24" s="53"/>
      <c r="T24" s="53"/>
      <c r="U24" s="53"/>
      <c r="V24" s="53"/>
      <c r="W24" s="53"/>
      <c r="X24" s="53"/>
      <c r="Y24" s="53">
        <v>0.11111111111111099</v>
      </c>
      <c r="Z24" s="53">
        <v>0.11111111111111099</v>
      </c>
      <c r="AA24" s="53">
        <v>0.11111111111111099</v>
      </c>
      <c r="AB24" s="53">
        <v>0.11111111111111099</v>
      </c>
      <c r="AC24" s="53">
        <v>0.11111111111111099</v>
      </c>
      <c r="AD24" s="53">
        <v>0.11111111111111099</v>
      </c>
      <c r="AE24" s="53">
        <v>0.11111111111111099</v>
      </c>
      <c r="AF24" s="53">
        <v>0.11111111111111099</v>
      </c>
      <c r="AG24" s="53">
        <v>0.11111111111111099</v>
      </c>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row>
    <row r="25" spans="1:71" s="43" customFormat="1" ht="30" customHeight="1" thickBot="1" x14ac:dyDescent="0.3">
      <c r="A25" s="136" t="s">
        <v>108</v>
      </c>
      <c r="B25" s="107" t="s">
        <v>102</v>
      </c>
      <c r="C25" s="127" t="s">
        <v>48</v>
      </c>
      <c r="D25" s="127">
        <v>700</v>
      </c>
      <c r="E25" s="120">
        <f t="shared" ca="1" si="2"/>
        <v>235.2</v>
      </c>
      <c r="F25" s="120">
        <f>0.5*D25</f>
        <v>350</v>
      </c>
      <c r="G25" s="127">
        <f t="shared" ca="1" si="3"/>
        <v>114.80000000000001</v>
      </c>
      <c r="H25" s="127">
        <f t="shared" si="4"/>
        <v>350</v>
      </c>
      <c r="I25" s="95">
        <f t="shared" si="5"/>
        <v>0.5</v>
      </c>
      <c r="J25" s="96">
        <v>46254</v>
      </c>
      <c r="K25" s="96">
        <v>46379</v>
      </c>
      <c r="L25" s="40"/>
      <c r="M25" s="41">
        <f t="shared" si="1"/>
        <v>126</v>
      </c>
      <c r="N25" s="53"/>
      <c r="O25" s="53"/>
      <c r="P25" s="53"/>
      <c r="Q25" s="53"/>
      <c r="R25" s="53">
        <v>39.200000000000003</v>
      </c>
      <c r="S25" s="53">
        <v>39.200000000000003</v>
      </c>
      <c r="T25" s="53"/>
      <c r="U25" s="53"/>
      <c r="V25" s="53">
        <v>39.200000000000003</v>
      </c>
      <c r="W25" s="53">
        <v>39.200000000000003</v>
      </c>
      <c r="X25" s="53">
        <v>39.200000000000003</v>
      </c>
      <c r="Y25" s="53">
        <v>39.200000000000003</v>
      </c>
      <c r="Z25" s="53">
        <v>39.200000000000003</v>
      </c>
      <c r="AA25" s="53">
        <v>39.200000000000003</v>
      </c>
      <c r="AB25" s="53">
        <v>39.200000000000003</v>
      </c>
      <c r="AC25" s="53">
        <v>39.200000000000003</v>
      </c>
      <c r="AD25" s="53">
        <v>39.200000000000003</v>
      </c>
      <c r="AE25" s="53">
        <v>39.200000000000003</v>
      </c>
      <c r="AF25" s="53">
        <v>39.200000000000003</v>
      </c>
      <c r="AG25" s="53">
        <v>39.200000000000003</v>
      </c>
      <c r="AH25" s="53">
        <v>39.200000000000003</v>
      </c>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row>
    <row r="26" spans="1:71" s="43" customFormat="1" ht="30" customHeight="1" thickBot="1" x14ac:dyDescent="0.3">
      <c r="A26" s="136"/>
      <c r="B26" s="107" t="s">
        <v>105</v>
      </c>
      <c r="C26" s="128" t="s">
        <v>98</v>
      </c>
      <c r="D26" s="128">
        <v>1</v>
      </c>
      <c r="E26" s="128">
        <f t="shared" ca="1" si="2"/>
        <v>0.11111111111111099</v>
      </c>
      <c r="F26" s="128"/>
      <c r="G26" s="128">
        <f t="shared" ca="1" si="3"/>
        <v>-0.11111111111111099</v>
      </c>
      <c r="H26" s="128">
        <f t="shared" si="4"/>
        <v>1</v>
      </c>
      <c r="I26" s="95">
        <f t="shared" si="5"/>
        <v>0</v>
      </c>
      <c r="J26" s="96">
        <v>46315</v>
      </c>
      <c r="K26" s="97">
        <v>46375</v>
      </c>
      <c r="L26" s="40"/>
      <c r="M26" s="41">
        <f t="shared" si="1"/>
        <v>61</v>
      </c>
      <c r="N26" s="84"/>
      <c r="O26" s="84"/>
      <c r="P26" s="84"/>
      <c r="Q26" s="84"/>
      <c r="R26" s="84"/>
      <c r="S26" s="84"/>
      <c r="T26" s="84"/>
      <c r="U26" s="84"/>
      <c r="V26" s="84"/>
      <c r="W26" s="84"/>
      <c r="X26" s="84"/>
      <c r="Y26" s="53">
        <v>0.11111111111111099</v>
      </c>
      <c r="Z26" s="53">
        <v>0.11111111111111099</v>
      </c>
      <c r="AA26" s="53">
        <v>0.11111111111111099</v>
      </c>
      <c r="AB26" s="53">
        <v>0.11111111111111099</v>
      </c>
      <c r="AC26" s="53">
        <v>0.11111111111111099</v>
      </c>
      <c r="AD26" s="53">
        <v>0.11111111111111099</v>
      </c>
      <c r="AE26" s="53">
        <v>0.11111111111111099</v>
      </c>
      <c r="AF26" s="53">
        <v>0.11111111111111099</v>
      </c>
      <c r="AG26" s="53">
        <v>0.11111111111111099</v>
      </c>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row>
    <row r="27" spans="1:71" s="43" customFormat="1" ht="30" customHeight="1" thickBot="1" x14ac:dyDescent="0.3">
      <c r="A27" s="136" t="s">
        <v>109</v>
      </c>
      <c r="B27" s="107" t="s">
        <v>102</v>
      </c>
      <c r="C27" s="120" t="s">
        <v>48</v>
      </c>
      <c r="D27" s="120">
        <v>700</v>
      </c>
      <c r="E27" s="120">
        <f t="shared" ca="1" si="2"/>
        <v>235.2</v>
      </c>
      <c r="F27" s="120">
        <f>0.5*D27</f>
        <v>350</v>
      </c>
      <c r="G27" s="120">
        <f t="shared" ca="1" si="3"/>
        <v>114.80000000000001</v>
      </c>
      <c r="H27" s="120">
        <f t="shared" si="4"/>
        <v>350</v>
      </c>
      <c r="I27" s="95">
        <f t="shared" si="5"/>
        <v>0.5</v>
      </c>
      <c r="J27" s="96">
        <v>46254</v>
      </c>
      <c r="K27" s="96">
        <v>46379</v>
      </c>
      <c r="L27" s="40"/>
      <c r="M27" s="41">
        <f t="shared" si="1"/>
        <v>126</v>
      </c>
      <c r="N27" s="53"/>
      <c r="O27" s="53"/>
      <c r="P27" s="53"/>
      <c r="Q27" s="53"/>
      <c r="R27" s="53">
        <v>39.200000000000003</v>
      </c>
      <c r="S27" s="53">
        <v>39.200000000000003</v>
      </c>
      <c r="T27" s="53"/>
      <c r="U27" s="53"/>
      <c r="V27" s="53">
        <v>39.200000000000003</v>
      </c>
      <c r="W27" s="53">
        <v>39.200000000000003</v>
      </c>
      <c r="X27" s="53">
        <v>39.200000000000003</v>
      </c>
      <c r="Y27" s="53">
        <v>39.200000000000003</v>
      </c>
      <c r="Z27" s="53">
        <v>39.200000000000003</v>
      </c>
      <c r="AA27" s="53">
        <v>39.200000000000003</v>
      </c>
      <c r="AB27" s="53">
        <v>39.200000000000003</v>
      </c>
      <c r="AC27" s="53">
        <v>39.200000000000003</v>
      </c>
      <c r="AD27" s="53">
        <v>39.200000000000003</v>
      </c>
      <c r="AE27" s="53">
        <v>39.200000000000003</v>
      </c>
      <c r="AF27" s="53">
        <v>39.200000000000003</v>
      </c>
      <c r="AG27" s="53">
        <v>39.200000000000003</v>
      </c>
      <c r="AH27" s="53">
        <v>39.200000000000003</v>
      </c>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row>
    <row r="28" spans="1:71" s="43" customFormat="1" ht="30" customHeight="1" thickBot="1" x14ac:dyDescent="0.3">
      <c r="A28" s="136"/>
      <c r="B28" s="107" t="s">
        <v>105</v>
      </c>
      <c r="C28" s="122" t="s">
        <v>98</v>
      </c>
      <c r="D28" s="122">
        <v>1</v>
      </c>
      <c r="E28" s="122">
        <f t="shared" ca="1" si="2"/>
        <v>0.11111111111111099</v>
      </c>
      <c r="F28" s="122"/>
      <c r="G28" s="122">
        <f t="shared" ca="1" si="3"/>
        <v>-0.11111111111111099</v>
      </c>
      <c r="H28" s="122">
        <f t="shared" si="4"/>
        <v>1</v>
      </c>
      <c r="I28" s="95">
        <f t="shared" si="5"/>
        <v>0</v>
      </c>
      <c r="J28" s="96">
        <v>46315</v>
      </c>
      <c r="K28" s="96">
        <v>46375</v>
      </c>
      <c r="L28" s="40"/>
      <c r="M28" s="41">
        <f t="shared" si="1"/>
        <v>61</v>
      </c>
      <c r="N28" s="53"/>
      <c r="O28" s="53"/>
      <c r="P28" s="53"/>
      <c r="Q28" s="53"/>
      <c r="R28" s="53"/>
      <c r="S28" s="53"/>
      <c r="T28" s="53"/>
      <c r="U28" s="53"/>
      <c r="V28" s="53"/>
      <c r="W28" s="53"/>
      <c r="X28" s="53"/>
      <c r="Y28" s="53">
        <v>0.11111111111111099</v>
      </c>
      <c r="Z28" s="53">
        <v>0.11111111111111099</v>
      </c>
      <c r="AA28" s="53">
        <v>0.11111111111111099</v>
      </c>
      <c r="AB28" s="53">
        <v>0.11111111111111099</v>
      </c>
      <c r="AC28" s="53">
        <v>0.11111111111111099</v>
      </c>
      <c r="AD28" s="53">
        <v>0.11111111111111099</v>
      </c>
      <c r="AE28" s="53">
        <v>0.11111111111111099</v>
      </c>
      <c r="AF28" s="53">
        <v>0.11111111111111099</v>
      </c>
      <c r="AG28" s="53">
        <v>0.11111111111111099</v>
      </c>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row>
    <row r="29" spans="1:71" s="43" customFormat="1" ht="30" customHeight="1" thickBot="1" x14ac:dyDescent="0.3">
      <c r="A29" s="136" t="s">
        <v>110</v>
      </c>
      <c r="B29" s="107" t="s">
        <v>102</v>
      </c>
      <c r="C29" s="127" t="s">
        <v>48</v>
      </c>
      <c r="D29" s="127">
        <v>500</v>
      </c>
      <c r="E29" s="120">
        <f t="shared" ca="1" si="2"/>
        <v>168</v>
      </c>
      <c r="F29" s="120">
        <f>0.5*D29</f>
        <v>250</v>
      </c>
      <c r="G29" s="127">
        <f t="shared" ca="1" si="3"/>
        <v>82</v>
      </c>
      <c r="H29" s="127">
        <f t="shared" si="4"/>
        <v>250</v>
      </c>
      <c r="I29" s="95">
        <f t="shared" si="5"/>
        <v>0.5</v>
      </c>
      <c r="J29" s="96">
        <v>46254</v>
      </c>
      <c r="K29" s="96">
        <v>46379</v>
      </c>
      <c r="L29" s="40"/>
      <c r="M29" s="41">
        <f t="shared" si="1"/>
        <v>126</v>
      </c>
      <c r="N29" s="53"/>
      <c r="O29" s="53"/>
      <c r="P29" s="53"/>
      <c r="Q29" s="53"/>
      <c r="R29" s="53">
        <v>28</v>
      </c>
      <c r="S29" s="53">
        <v>28</v>
      </c>
      <c r="T29" s="53"/>
      <c r="U29" s="53"/>
      <c r="V29" s="53">
        <v>28</v>
      </c>
      <c r="W29" s="53">
        <v>28</v>
      </c>
      <c r="X29" s="53">
        <v>28</v>
      </c>
      <c r="Y29" s="53">
        <v>28</v>
      </c>
      <c r="Z29" s="53">
        <v>28</v>
      </c>
      <c r="AA29" s="53">
        <v>28</v>
      </c>
      <c r="AB29" s="53">
        <v>28</v>
      </c>
      <c r="AC29" s="53">
        <v>28</v>
      </c>
      <c r="AD29" s="53">
        <v>28</v>
      </c>
      <c r="AE29" s="53">
        <v>28</v>
      </c>
      <c r="AF29" s="53">
        <v>28</v>
      </c>
      <c r="AG29" s="53">
        <v>28</v>
      </c>
      <c r="AH29" s="53">
        <v>28</v>
      </c>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row>
    <row r="30" spans="1:71" s="43" customFormat="1" ht="30" customHeight="1" thickBot="1" x14ac:dyDescent="0.3">
      <c r="A30" s="136"/>
      <c r="B30" s="107" t="s">
        <v>105</v>
      </c>
      <c r="C30" s="122" t="s">
        <v>98</v>
      </c>
      <c r="D30" s="122">
        <v>1</v>
      </c>
      <c r="E30" s="122">
        <f t="shared" ca="1" si="2"/>
        <v>0.11111111111111099</v>
      </c>
      <c r="F30" s="122"/>
      <c r="G30" s="122">
        <f t="shared" ca="1" si="3"/>
        <v>-0.11111111111111099</v>
      </c>
      <c r="H30" s="122">
        <f t="shared" si="4"/>
        <v>1</v>
      </c>
      <c r="I30" s="95">
        <f t="shared" si="5"/>
        <v>0</v>
      </c>
      <c r="J30" s="96">
        <v>46315</v>
      </c>
      <c r="K30" s="96">
        <v>46375</v>
      </c>
      <c r="L30" s="40"/>
      <c r="M30" s="41">
        <f t="shared" si="1"/>
        <v>61</v>
      </c>
      <c r="N30" s="53"/>
      <c r="O30" s="53"/>
      <c r="P30" s="53"/>
      <c r="Q30" s="53"/>
      <c r="R30" s="53"/>
      <c r="S30" s="53"/>
      <c r="T30" s="53"/>
      <c r="U30" s="53"/>
      <c r="V30" s="53"/>
      <c r="W30" s="53"/>
      <c r="X30" s="53"/>
      <c r="Y30" s="53">
        <v>0.11111111111111099</v>
      </c>
      <c r="Z30" s="53">
        <v>0.11111111111111099</v>
      </c>
      <c r="AA30" s="53">
        <v>0.11111111111111099</v>
      </c>
      <c r="AB30" s="53">
        <v>0.11111111111111099</v>
      </c>
      <c r="AC30" s="53">
        <v>0.11111111111111099</v>
      </c>
      <c r="AD30" s="53">
        <v>0.11111111111111099</v>
      </c>
      <c r="AE30" s="53">
        <v>0.11111111111111099</v>
      </c>
      <c r="AF30" s="53">
        <v>0.11111111111111099</v>
      </c>
      <c r="AG30" s="53">
        <v>0.11111111111111099</v>
      </c>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row>
    <row r="31" spans="1:71" s="43" customFormat="1" ht="30" customHeight="1" thickBot="1" x14ac:dyDescent="0.3">
      <c r="A31" s="1"/>
      <c r="B31" s="129"/>
      <c r="C31" s="129"/>
      <c r="D31" s="129"/>
      <c r="E31" s="129"/>
      <c r="F31" s="129"/>
      <c r="G31" s="129"/>
      <c r="H31" s="129"/>
      <c r="I31" s="130"/>
      <c r="J31" s="131"/>
      <c r="K31" s="131"/>
      <c r="L31" s="40"/>
      <c r="M31" s="41" t="str">
        <f t="shared" si="1"/>
        <v/>
      </c>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row>
    <row r="32" spans="1:71" s="43" customFormat="1" ht="30" customHeight="1" thickBot="1" x14ac:dyDescent="0.3">
      <c r="A32" s="18"/>
      <c r="B32" s="114" t="s">
        <v>111</v>
      </c>
      <c r="C32" s="114"/>
      <c r="D32" s="114"/>
      <c r="E32" s="114"/>
      <c r="F32" s="114"/>
      <c r="G32" s="114"/>
      <c r="H32" s="114"/>
      <c r="I32" s="115"/>
      <c r="J32" s="116"/>
      <c r="K32" s="117"/>
      <c r="L32" s="40"/>
      <c r="M32" s="88" t="str">
        <f t="shared" si="1"/>
        <v/>
      </c>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89"/>
      <c r="BN32" s="89"/>
      <c r="BO32" s="89"/>
      <c r="BP32" s="89"/>
      <c r="BQ32" s="89"/>
      <c r="BR32" s="89"/>
      <c r="BS32" s="89"/>
    </row>
    <row r="33" spans="11:12" ht="30" customHeight="1" x14ac:dyDescent="0.25">
      <c r="L33" s="90"/>
    </row>
    <row r="34" spans="11:12" ht="30" customHeight="1" x14ac:dyDescent="0.25">
      <c r="K34" s="118"/>
    </row>
  </sheetData>
  <mergeCells count="24">
    <mergeCell ref="A1:J1"/>
    <mergeCell ref="N4:AI4"/>
    <mergeCell ref="A5:A6"/>
    <mergeCell ref="B5:B6"/>
    <mergeCell ref="C5:C6"/>
    <mergeCell ref="D5:D6"/>
    <mergeCell ref="E5:E6"/>
    <mergeCell ref="F5:F6"/>
    <mergeCell ref="G5:G6"/>
    <mergeCell ref="H5:H6"/>
    <mergeCell ref="I5:I6"/>
    <mergeCell ref="J5:J6"/>
    <mergeCell ref="K5:K6"/>
    <mergeCell ref="A8:A10"/>
    <mergeCell ref="A11:A12"/>
    <mergeCell ref="A13:A14"/>
    <mergeCell ref="A15:A16"/>
    <mergeCell ref="A17:A18"/>
    <mergeCell ref="A29:A30"/>
    <mergeCell ref="A19:A20"/>
    <mergeCell ref="A21:A22"/>
    <mergeCell ref="A23:A24"/>
    <mergeCell ref="A25:A26"/>
    <mergeCell ref="A27:A28"/>
  </mergeCells>
  <conditionalFormatting sqref="G8:G30">
    <cfRule type="cellIs" dxfId="9" priority="1" operator="lessThan">
      <formula>0</formula>
    </cfRule>
    <cfRule type="cellIs" dxfId="8" priority="2" operator="greaterThan">
      <formula>0</formula>
    </cfRule>
  </conditionalFormatting>
  <conditionalFormatting sqref="I7:I32">
    <cfRule type="dataBar" priority="12">
      <dataBar>
        <cfvo type="num" val="0"/>
        <cfvo type="num" val="1"/>
        <color rgb="FFFFFFFF"/>
      </dataBar>
      <extLst>
        <ext xmlns:x14="http://schemas.microsoft.com/office/spreadsheetml/2009/9/main" uri="{B025F937-C7B1-47D3-B67F-A62EFF666E3E}">
          <x14:id>{2EFEEACE-2E42-4619-9778-ABB594256288}</x14:id>
        </ext>
      </extLst>
    </cfRule>
  </conditionalFormatting>
  <conditionalFormatting sqref="I8:I30">
    <cfRule type="cellIs" dxfId="7" priority="5" operator="equal">
      <formula>100</formula>
    </cfRule>
    <cfRule type="cellIs" dxfId="6" priority="6" operator="equal">
      <formula>0</formula>
    </cfRule>
    <cfRule type="cellIs" dxfId="5" priority="7" operator="between">
      <formula>1</formula>
      <formula>99</formula>
    </cfRule>
    <cfRule type="cellIs" dxfId="4" priority="8" operator="greaterThan">
      <formula>0</formula>
    </cfRule>
  </conditionalFormatting>
  <conditionalFormatting sqref="I14">
    <cfRule type="cellIs" dxfId="3" priority="4" operator="equal">
      <formula>1</formula>
    </cfRule>
  </conditionalFormatting>
  <conditionalFormatting sqref="N5:AI30">
    <cfRule type="expression" dxfId="2" priority="11">
      <formula>AND(TODAY()&gt;=N$5,TODAY()&lt;N$5+7)</formula>
    </cfRule>
  </conditionalFormatting>
  <conditionalFormatting sqref="N8:AI30">
    <cfRule type="expression" dxfId="1" priority="9">
      <formula>AND(task_progress&gt;0,task_start&lt;=N$5+6,ROUNDDOWN((task_end-task_start+1)*task_progress,0)+task_start-1&gt;=N$5)</formula>
    </cfRule>
    <cfRule type="expression" dxfId="0" priority="10">
      <formula>AND(task_end&gt;=N$5,task_start&lt;=N$5+6)</formula>
    </cfRule>
  </conditionalFormatting>
  <dataValidations count="6">
    <dataValidation type="whole" operator="greaterThanOrEqual" allowBlank="1" showInputMessage="1" promptTitle="Display Week" prompt="Changing this number will scroll the Gantt Chart view." sqref="X2" xr:uid="{00000000-0002-0000-0400-000000000000}">
      <formula1>1</formula1>
      <formula2>0</formula2>
    </dataValidation>
    <dataValidation allowBlank="1" showInputMessage="1" showErrorMessage="1" prompt="Enter Company name in cel B2." sqref="A2" xr:uid="{00000000-0002-0000-0400-000001000000}">
      <formula1>0</formula1>
      <formula2>0</formula2>
    </dataValidation>
    <dataValidation allowBlank="1" showInputMessage="1" showErrorMessage="1" prompt="Enter the name of the Project Lead in cell C3. Enter the Project Start date in cell Q1. Project Start: label is in cell I1." sqref="A3" xr:uid="{00000000-0002-0000-0400-000002000000}">
      <formula1>0</formula1>
      <formula2>0</formula2>
    </dataValidation>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400-000003000000}">
      <formula1>0</formula1>
      <formula2>0</formula2>
    </dataValidation>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400-000004000000}">
      <formula1>0</formula1>
      <formula2>0</formula2>
    </dataValidation>
    <dataValidation allowBlank="1" showInputMessage="1" showErrorMessage="1" prompt="This row marks the end of the Project Schedule. DO NOT enter anything in this row. _x000a_Insert new rows ABOVE this one to continue building out your Project Schedule." sqref="A32" xr:uid="{00000000-0002-0000-0400-000005000000}">
      <formula1>0</formula1>
      <formula2>0</formula2>
    </dataValidation>
  </dataValidations>
  <printOptions horizontalCentered="1"/>
  <pageMargins left="0.35" right="0.35" top="0.35" bottom="0.34722222222222199" header="0.511811023622047" footer="0.511811023622047"/>
  <pageSetup scale="26" fitToHeight="0"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dataBar" id="{2EFEEACE-2E42-4619-9778-ABB594256288}">
            <x14:dataBar axisPosition="none">
              <x14:cfvo type="num">
                <xm:f>0</xm:f>
              </x14:cfvo>
              <x14:cfvo type="num">
                <xm:f>1</xm:f>
              </x14:cfvo>
              <x14:negativeFillColor rgb="FFFFFFFF"/>
            </x14:dataBar>
          </x14:cfRule>
          <xm:sqref>I7:I32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H4:I12"/>
  <sheetViews>
    <sheetView rightToLeft="1" view="pageBreakPreview" zoomScaleNormal="100" workbookViewId="0">
      <selection activeCell="I11" sqref="I11"/>
    </sheetView>
  </sheetViews>
  <sheetFormatPr defaultColWidth="8.59765625" defaultRowHeight="13.8" x14ac:dyDescent="0.25"/>
  <cols>
    <col min="7" max="7" width="8.796875" customWidth="1"/>
    <col min="9" max="9" width="12.3984375" customWidth="1"/>
  </cols>
  <sheetData>
    <row r="4" spans="8:9" x14ac:dyDescent="0.25">
      <c r="H4" s="157" t="s">
        <v>112</v>
      </c>
      <c r="I4" s="157"/>
    </row>
    <row r="5" spans="8:9" x14ac:dyDescent="0.25">
      <c r="H5" s="132" t="s">
        <v>113</v>
      </c>
      <c r="I5" s="133">
        <v>7.0000000000000007E-2</v>
      </c>
    </row>
    <row r="6" spans="8:9" x14ac:dyDescent="0.25">
      <c r="H6" s="132" t="s">
        <v>114</v>
      </c>
      <c r="I6" s="133">
        <v>0.05</v>
      </c>
    </row>
    <row r="7" spans="8:9" x14ac:dyDescent="0.25">
      <c r="H7" s="132" t="s">
        <v>115</v>
      </c>
      <c r="I7" s="133">
        <v>0.08</v>
      </c>
    </row>
    <row r="8" spans="8:9" x14ac:dyDescent="0.25">
      <c r="H8" s="132" t="s">
        <v>116</v>
      </c>
      <c r="I8" s="133">
        <v>0.08</v>
      </c>
    </row>
    <row r="9" spans="8:9" x14ac:dyDescent="0.25">
      <c r="H9" s="132" t="s">
        <v>117</v>
      </c>
      <c r="I9" s="133">
        <v>0.15</v>
      </c>
    </row>
    <row r="10" spans="8:9" x14ac:dyDescent="0.25">
      <c r="H10" s="132" t="s">
        <v>118</v>
      </c>
      <c r="I10" s="133">
        <v>0.13</v>
      </c>
    </row>
    <row r="11" spans="8:9" x14ac:dyDescent="0.25">
      <c r="H11" s="132" t="s">
        <v>119</v>
      </c>
      <c r="I11" s="133">
        <v>0.3</v>
      </c>
    </row>
    <row r="12" spans="8:9" x14ac:dyDescent="0.25">
      <c r="H12" s="132" t="s">
        <v>120</v>
      </c>
      <c r="I12" s="133">
        <v>0.14000000000000001</v>
      </c>
    </row>
  </sheetData>
  <mergeCells count="1">
    <mergeCell ref="H4:I4"/>
  </mergeCells>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27</vt:i4>
      </vt:variant>
    </vt:vector>
  </HeadingPairs>
  <TitlesOfParts>
    <vt:vector size="33" baseType="lpstr">
      <vt:lpstr>طريق-1</vt:lpstr>
      <vt:lpstr>طريق-2</vt:lpstr>
      <vt:lpstr>طريق-3</vt:lpstr>
      <vt:lpstr>طريق-الخدمات</vt:lpstr>
      <vt:lpstr>أعمال مباني الخدمات والبحيرة</vt:lpstr>
      <vt:lpstr>Sheet4</vt:lpstr>
      <vt:lpstr>Display_Week</vt:lpstr>
      <vt:lpstr>'أعمال مباني الخدمات والبحيرة'!Print_Area</vt:lpstr>
      <vt:lpstr>'طريق-1'!Print_Area</vt:lpstr>
      <vt:lpstr>'طريق-2'!Print_Area</vt:lpstr>
      <vt:lpstr>'طريق-3'!Print_Area</vt:lpstr>
      <vt:lpstr>'طريق-الخدمات'!Print_Area</vt:lpstr>
      <vt:lpstr>'أعمال مباني الخدمات والبحيرة'!Print_Titles</vt:lpstr>
      <vt:lpstr>'طريق-1'!Print_Titles</vt:lpstr>
      <vt:lpstr>'طريق-2'!Print_Titles</vt:lpstr>
      <vt:lpstr>'طريق-3'!Print_Titles</vt:lpstr>
      <vt:lpstr>'طريق-الخدمات'!Print_Titles</vt:lpstr>
      <vt:lpstr>Project_Start</vt:lpstr>
      <vt:lpstr>'أعمال مباني الخدمات والبحيرة'!task_end</vt:lpstr>
      <vt:lpstr>'طريق-1'!task_end</vt:lpstr>
      <vt:lpstr>'طريق-2'!task_end</vt:lpstr>
      <vt:lpstr>'طريق-3'!task_end</vt:lpstr>
      <vt:lpstr>'طريق-الخدمات'!task_end</vt:lpstr>
      <vt:lpstr>'أعمال مباني الخدمات والبحيرة'!task_progress</vt:lpstr>
      <vt:lpstr>'طريق-1'!task_progress</vt:lpstr>
      <vt:lpstr>'طريق-2'!task_progress</vt:lpstr>
      <vt:lpstr>'طريق-3'!task_progress</vt:lpstr>
      <vt:lpstr>'طريق-الخدمات'!task_progress</vt:lpstr>
      <vt:lpstr>'أعمال مباني الخدمات والبحيرة'!task_start</vt:lpstr>
      <vt:lpstr>'طريق-1'!task_start</vt:lpstr>
      <vt:lpstr>'طريق-2'!task_start</vt:lpstr>
      <vt:lpstr>'طريق-3'!task_start</vt:lpstr>
      <vt:lpstr>'طريق-الخدمات'!task_start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Ahmed Gomaa Mohamed</dc:creator>
  <dc:description/>
  <cp:lastModifiedBy>Ahmed Gomaa Mohamed</cp:lastModifiedBy>
  <cp:revision>0</cp:revision>
  <dcterms:created xsi:type="dcterms:W3CDTF">2022-03-11T22:41:12Z</dcterms:created>
  <dcterms:modified xsi:type="dcterms:W3CDTF">2026-10-20T10:38:12Z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